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03c3dfe30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kinler" sheetId="1" r:id="Ra0be4cc720684483"/>
    <x:sheet xmlns:r="http://schemas.openxmlformats.org/officeDocument/2006/relationships" name="Giderler" sheetId="2" r:id="R2b985dfcecd24c03"/>
    <x:sheet xmlns:r="http://schemas.openxmlformats.org/officeDocument/2006/relationships" name="Aidat Ekstresi" sheetId="3" r:id="R1b99b57d3fed4508"/>
    <x:sheet xmlns:r="http://schemas.openxmlformats.org/officeDocument/2006/relationships" name="Banka Hareketleri" sheetId="4" r:id="R13e0ad61e341456c"/>
    <x:sheet xmlns:r="http://schemas.openxmlformats.org/officeDocument/2006/relationships" name="B002-R001" sheetId="5" r:id="R1f5233f9fb424f5e"/>
    <x:sheet xmlns:r="http://schemas.openxmlformats.org/officeDocument/2006/relationships" name="B002-R002" sheetId="6" r:id="Rfa0117f8b0fd41a4"/>
    <x:sheet xmlns:r="http://schemas.openxmlformats.org/officeDocument/2006/relationships" name="B002-R003" sheetId="7" r:id="R96a0a2ada1334518"/>
    <x:sheet xmlns:r="http://schemas.openxmlformats.org/officeDocument/2006/relationships" name="B002-R004" sheetId="8" r:id="R1f85e44333544814"/>
    <x:sheet xmlns:r="http://schemas.openxmlformats.org/officeDocument/2006/relationships" name="B002-R005" sheetId="9" r:id="Ra4fdff09962d455c"/>
    <x:sheet xmlns:r="http://schemas.openxmlformats.org/officeDocument/2006/relationships" name="B002-R006" sheetId="10" r:id="Rf317dc40e4e444dc"/>
    <x:sheet xmlns:r="http://schemas.openxmlformats.org/officeDocument/2006/relationships" name="B002-R007" sheetId="11" r:id="R2634ce8f2cb74f30"/>
    <x:sheet xmlns:r="http://schemas.openxmlformats.org/officeDocument/2006/relationships" name="B002-R008" sheetId="12" r:id="R457e6a8ee2ee44c7"/>
    <x:sheet xmlns:r="http://schemas.openxmlformats.org/officeDocument/2006/relationships" name="B002-R009" sheetId="13" r:id="Rf47a4b949d6d424d"/>
    <x:sheet xmlns:r="http://schemas.openxmlformats.org/officeDocument/2006/relationships" name="B002-R010" sheetId="14" r:id="Ra83efabe5f764806"/>
    <x:sheet xmlns:r="http://schemas.openxmlformats.org/officeDocument/2006/relationships" name="Özet" sheetId="15" r:id="R4d0c632d6f644e43"/>
    <x:sheet xmlns:r="http://schemas.openxmlformats.org/officeDocument/2006/relationships" name="Notlar" sheetId="16" r:id="R496fd314bc10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 &quot;m²&quot;"/>
    <x:numFmt numFmtId="201" formatCode="0.00%"/>
    <x:numFmt numFmtId="202" formatCode="dd.mm.yyyy"/>
    <x:numFmt numFmtId="203" formatCode="#,##0.00 &quot;TL&quot;"/>
    <x:numFmt numFmtId="204" formatCode="mmmm yyyy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F3F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F3F"/>
      </x:patternFill>
    </x:fill>
    <x:fill>
      <x:patternFill patternType="solid">
        <x:fgColor rgb="FFD4D9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f4a4a751e4079" /><Relationship Type="http://schemas.openxmlformats.org/officeDocument/2006/relationships/theme" Target="/xl/theme/theme1.xml" Id="R0e31fcf048b34536" /><Relationship Type="http://schemas.openxmlformats.org/officeDocument/2006/relationships/sharedStrings" Target="/xl/sharedStrings.xml" Id="R35513a083d5f41dc" /><Relationship Type="http://schemas.openxmlformats.org/officeDocument/2006/relationships/worksheet" Target="/xl/worksheets/sheet1.xml" Id="Ra0be4cc720684483" /><Relationship Type="http://schemas.openxmlformats.org/officeDocument/2006/relationships/worksheet" Target="/xl/worksheets/sheet2.xml" Id="R2b985dfcecd24c03" /><Relationship Type="http://schemas.openxmlformats.org/officeDocument/2006/relationships/worksheet" Target="/xl/worksheets/sheet3.xml" Id="R1b99b57d3fed4508" /><Relationship Type="http://schemas.openxmlformats.org/officeDocument/2006/relationships/worksheet" Target="/xl/worksheets/sheet4.xml" Id="R13e0ad61e341456c" /><Relationship Type="http://schemas.openxmlformats.org/officeDocument/2006/relationships/worksheet" Target="/xl/worksheets/sheet5.xml" Id="R1f5233f9fb424f5e" /><Relationship Type="http://schemas.openxmlformats.org/officeDocument/2006/relationships/worksheet" Target="/xl/worksheets/sheet6.xml" Id="Rfa0117f8b0fd41a4" /><Relationship Type="http://schemas.openxmlformats.org/officeDocument/2006/relationships/worksheet" Target="/xl/worksheets/sheet7.xml" Id="R96a0a2ada1334518" /><Relationship Type="http://schemas.openxmlformats.org/officeDocument/2006/relationships/worksheet" Target="/xl/worksheets/sheet8.xml" Id="R1f85e44333544814" /><Relationship Type="http://schemas.openxmlformats.org/officeDocument/2006/relationships/worksheet" Target="/xl/worksheets/sheet9.xml" Id="Ra4fdff09962d455c" /><Relationship Type="http://schemas.openxmlformats.org/officeDocument/2006/relationships/worksheet" Target="/xl/worksheets/sheet10.xml" Id="Rf317dc40e4e444dc" /><Relationship Type="http://schemas.openxmlformats.org/officeDocument/2006/relationships/worksheet" Target="/xl/worksheets/sheet11.xml" Id="R2634ce8f2cb74f30" /><Relationship Type="http://schemas.openxmlformats.org/officeDocument/2006/relationships/worksheet" Target="/xl/worksheets/sheet12.xml" Id="R457e6a8ee2ee44c7" /><Relationship Type="http://schemas.openxmlformats.org/officeDocument/2006/relationships/worksheet" Target="/xl/worksheets/sheet13.xml" Id="Rf47a4b949d6d424d" /><Relationship Type="http://schemas.openxmlformats.org/officeDocument/2006/relationships/worksheet" Target="/xl/worksheets/sheet14.xml" Id="Ra83efabe5f764806" /><Relationship Type="http://schemas.openxmlformats.org/officeDocument/2006/relationships/worksheet" Target="/xl/worksheets/sheet15.xml" Id="R4d0c632d6f644e43" /><Relationship Type="http://schemas.openxmlformats.org/officeDocument/2006/relationships/worksheet" Target="/xl/worksheets/sheet16.xml" Id="R496fd314bc104a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Mavişehir Apartmanı — Sakinler</x:v>
      </x:c>
      <x:c r="B1" s="3"/>
      <x:c r="C1" s="3"/>
      <x:c r="D1" s="3"/>
      <x:c r="E1" s="3"/>
      <x:c r="F1" s="3"/>
    </x:row>
    <x:row r="3">
      <x:c r="A3" s="10" t="str">
        <x:v>Daire No</x:v>
      </x:c>
      <x:c r="B3" s="10" t="str">
        <x:v>Resident Kodu</x:v>
      </x:c>
      <x:c r="C3" s="10" t="str">
        <x:v>Ad Soyad</x:v>
      </x:c>
      <x:c r="D3" s="10" t="str">
        <x:v>Net m²</x:v>
      </x:c>
      <x:c r="E3" s="10" t="str">
        <x:v>Ortak Gider Payı</x:v>
      </x:c>
      <x:c r="F3" s="10" t="str">
        <x:v>Durum</x:v>
      </x:c>
    </x:row>
    <x:row r="4">
      <x:c r="A4" t="n">
        <x:v>1</x:v>
      </x:c>
      <x:c r="B4" t="str">
        <x:v>B002-R001</x:v>
      </x:c>
      <x:c r="C4" t="str">
        <x:v>Pelin Yıldız</x:v>
      </x:c>
      <x:c r="D4" s="16" t="n">
        <x:v>78</x:v>
      </x:c>
      <x:c r="E4" s="18" t="n">
        <x:v>0.07784431137724551</x:v>
      </x:c>
      <x:c r="F4" t="str">
        <x:v>Aktif</x:v>
      </x:c>
    </x:row>
    <x:row r="5">
      <x:c r="A5" t="n">
        <x:v>2</x:v>
      </x:c>
      <x:c r="B5" t="str">
        <x:v>B002-R002</x:v>
      </x:c>
      <x:c r="C5" t="str">
        <x:v>Burak Kılıç</x:v>
      </x:c>
      <x:c r="D5" s="16" t="n">
        <x:v>78</x:v>
      </x:c>
      <x:c r="E5" s="18" t="n">
        <x:v>0.07784431137724551</x:v>
      </x:c>
      <x:c r="F5" t="str">
        <x:v>Aktif</x:v>
      </x:c>
    </x:row>
    <x:row r="6">
      <x:c r="A6" t="n">
        <x:v>3</x:v>
      </x:c>
      <x:c r="B6" t="str">
        <x:v>B002-R003</x:v>
      </x:c>
      <x:c r="C6" t="str">
        <x:v>Mehmet Özdemir</x:v>
      </x:c>
      <x:c r="D6" s="16" t="n">
        <x:v>105</x:v>
      </x:c>
      <x:c r="E6" s="18" t="n">
        <x:v>0.10479041916167664</x:v>
      </x:c>
      <x:c r="F6" t="str">
        <x:v>Aktif</x:v>
      </x:c>
    </x:row>
    <x:row r="7">
      <x:c r="A7" t="n">
        <x:v>4</x:v>
      </x:c>
      <x:c r="B7" t="str">
        <x:v>B002-R004</x:v>
      </x:c>
      <x:c r="C7" t="str">
        <x:v>Onur Özdemir</x:v>
      </x:c>
      <x:c r="D7" s="16" t="n">
        <x:v>68</x:v>
      </x:c>
      <x:c r="E7" s="18" t="n">
        <x:v>0.06786427145708583</x:v>
      </x:c>
      <x:c r="F7" t="str">
        <x:v>Aktif</x:v>
      </x:c>
    </x:row>
    <x:row r="8">
      <x:c r="A8" t="n">
        <x:v>5</x:v>
      </x:c>
      <x:c r="B8" t="str">
        <x:v>B002-R005</x:v>
      </x:c>
      <x:c r="C8" t="str">
        <x:v>Selin Kılıç</x:v>
      </x:c>
      <x:c r="D8" s="16" t="n">
        <x:v>96</x:v>
      </x:c>
      <x:c r="E8" s="18" t="n">
        <x:v>0.09580838323353294</x:v>
      </x:c>
      <x:c r="F8" t="str">
        <x:v>Aktif</x:v>
      </x:c>
    </x:row>
    <x:row r="9">
      <x:c r="A9" t="n">
        <x:v>6</x:v>
      </x:c>
      <x:c r="B9" t="str">
        <x:v>B002-R006</x:v>
      </x:c>
      <x:c r="C9" t="str">
        <x:v>Buse Özdemir</x:v>
      </x:c>
      <x:c r="D9" s="16" t="n">
        <x:v>118</x:v>
      </x:c>
      <x:c r="E9" s="18" t="n">
        <x:v>0.11776447105788423</x:v>
      </x:c>
      <x:c r="F9" t="str">
        <x:v>Aktif</x:v>
      </x:c>
    </x:row>
    <x:row r="10">
      <x:c r="A10" t="n">
        <x:v>7</x:v>
      </x:c>
      <x:c r="B10" t="str">
        <x:v>B002-R007</x:v>
      </x:c>
      <x:c r="C10" t="str">
        <x:v>Deniz Polat</x:v>
      </x:c>
      <x:c r="D10" s="16" t="n">
        <x:v>72</x:v>
      </x:c>
      <x:c r="E10" s="18" t="n">
        <x:v>0.0718562874251497</x:v>
      </x:c>
      <x:c r="F10" t="str">
        <x:v>Aktif</x:v>
      </x:c>
    </x:row>
    <x:row r="11">
      <x:c r="A11" t="n">
        <x:v>8</x:v>
      </x:c>
      <x:c r="B11" t="str">
        <x:v>B002-R008</x:v>
      </x:c>
      <x:c r="C11" t="str">
        <x:v>Derya Koç</x:v>
      </x:c>
      <x:c r="D11" s="16" t="n">
        <x:v>158</x:v>
      </x:c>
      <x:c r="E11" s="18" t="n">
        <x:v>0.15768463073852296</x:v>
      </x:c>
      <x:c r="F11" t="str">
        <x:v>Aktif</x:v>
      </x:c>
    </x:row>
    <x:row r="12">
      <x:c r="A12" t="n">
        <x:v>9</x:v>
      </x:c>
      <x:c r="B12" t="str">
        <x:v>B002-R009</x:v>
      </x:c>
      <x:c r="C12" t="str">
        <x:v>Elif Polat</x:v>
      </x:c>
      <x:c r="D12" s="16" t="n">
        <x:v>84</x:v>
      </x:c>
      <x:c r="E12" s="18" t="n">
        <x:v>0.08383233532934131</x:v>
      </x:c>
      <x:c r="F12" t="str">
        <x:v>Aktif</x:v>
      </x:c>
    </x:row>
    <x:row r="13">
      <x:c r="A13" t="n">
        <x:v>10</x:v>
      </x:c>
      <x:c r="B13" t="str">
        <x:v>B002-R010</x:v>
      </x:c>
      <x:c r="C13" t="str">
        <x:v>Zeynep Eren</x:v>
      </x:c>
      <x:c r="D13" s="16" t="n">
        <x:v>145</x:v>
      </x:c>
      <x:c r="E13" s="18" t="n">
        <x:v>0.14471057884231536</x:v>
      </x:c>
      <x:c r="F13" t="str">
        <x:v>Aktif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0" customHeight="1">
      <x:c r="A1" s="3" t="str">
        <x:v>Mavişehir Apartmanı — Giderler ve Daire Payları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>
      <x:c r="A3" s="10" t="str">
        <x:v>Tarih</x:v>
      </x:c>
      <x:c r="B3" s="10" t="str">
        <x:v>Gider Ayı</x:v>
      </x:c>
      <x:c r="C3" s="10" t="str">
        <x:v>Kategori</x:v>
      </x:c>
      <x:c r="D3" s="10" t="str">
        <x:v>Açıklama</x:v>
      </x:c>
      <x:c r="E3" s="10" t="str">
        <x:v>Ödeme</x:v>
      </x:c>
      <x:c r="F3" s="10" t="str">
        <x:v>Tutar</x:v>
      </x:c>
      <x:c r="G3" s="10" t="str">
        <x:v>Gider Kodu</x:v>
      </x:c>
      <x:c r="H3" s="10" t="str">
        <x:v>B002-R001</x:v>
      </x:c>
      <x:c r="I3" s="10" t="str">
        <x:v>B002-R002</x:v>
      </x:c>
      <x:c r="J3" s="10" t="str">
        <x:v>B002-R003</x:v>
      </x:c>
      <x:c r="K3" s="10" t="str">
        <x:v>B002-R004</x:v>
      </x:c>
      <x:c r="L3" s="10" t="str">
        <x:v>B002-R005</x:v>
      </x:c>
      <x:c r="M3" s="10" t="str">
        <x:v>B002-R006</x:v>
      </x:c>
      <x:c r="N3" s="10" t="str">
        <x:v>B002-R007</x:v>
      </x:c>
      <x:c r="O3" s="10" t="str">
        <x:v>B002-R008</x:v>
      </x:c>
      <x:c r="P3" s="10" t="str">
        <x:v>B002-R009</x:v>
      </x:c>
      <x:c r="Q3" s="10" t="str">
        <x:v>B002-R010</x:v>
      </x:c>
      <x:c r="R3" s="10" t="str">
        <x:v>Pay Toplamı</x:v>
      </x:c>
    </x:row>
    <x:row r="4">
      <x:c r="A4" s="20" t="n">
        <x:v>45996</x:v>
      </x:c>
      <x:c r="B4" s="20" t="n">
        <x:v>45992</x:v>
      </x:c>
      <x:c r="C4" t="str">
        <x:v>Ortak Alan Elektrik</x:v>
      </x:c>
      <x:c r="D4" t="str">
        <x:v>Aralık ortak alan elektrik</x:v>
      </x:c>
      <x:c r="E4" t="str">
        <x:v>Banka</x:v>
      </x:c>
      <x:c r="F4" s="22" t="n">
        <x:v>1550</x:v>
      </x:c>
      <x:c r="G4" s="22" t="str">
        <x:v>B002-G0001</x:v>
      </x:c>
      <x:c r="H4" s="22" t="n">
        <x:f>$F4*Sakinler!$E$4</x:f>
        <x:v>120.65868263473054</x:v>
      </x:c>
      <x:c r="I4" s="22" t="n">
        <x:f>$F4*Sakinler!$E$5</x:f>
        <x:v>120.65868263473054</x:v>
      </x:c>
      <x:c r="J4" s="22" t="n">
        <x:f>$F4*Sakinler!$E$6</x:f>
        <x:v>162.42514970059878</x:v>
      </x:c>
      <x:c r="K4" s="22" t="n">
        <x:f>$F4*Sakinler!$E$7</x:f>
        <x:v>105.18962075848304</x:v>
      </x:c>
      <x:c r="L4" s="22" t="n">
        <x:f>$F4*Sakinler!$E$8</x:f>
        <x:v>148.50299401197606</x:v>
      </x:c>
      <x:c r="M4" s="22" t="n">
        <x:f>$F4*Sakinler!$E$9</x:f>
        <x:v>182.53493013972056</x:v>
      </x:c>
      <x:c r="N4" s="22" t="n">
        <x:f>$F4*Sakinler!$E$10</x:f>
        <x:v>111.37724550898203</x:v>
      </x:c>
      <x:c r="O4" s="22" t="n">
        <x:f>$F4*Sakinler!$E$11</x:f>
        <x:v>244.4111776447106</x:v>
      </x:c>
      <x:c r="P4" s="22" t="n">
        <x:f>$F4*Sakinler!$E$12</x:f>
        <x:v>129.94011976047904</x:v>
      </x:c>
      <x:c r="Q4" s="22" t="n">
        <x:f>$F4*Sakinler!$E$13</x:f>
        <x:v>224.3013972055888</x:v>
      </x:c>
      <x:c r="R4" s="22" t="n">
        <x:f>SUM(H4:Q4)</x:f>
        <x:v>1550</x:v>
      </x:c>
    </x:row>
    <x:row r="5">
      <x:c r="A5" s="20" t="n">
        <x:v>46000</x:v>
      </x:c>
      <x:c r="B5" s="20" t="n">
        <x:v>45992</x:v>
      </x:c>
      <x:c r="C5" t="str">
        <x:v>Ortak Alan Su</x:v>
      </x:c>
      <x:c r="D5" t="str">
        <x:v>Aralık ortak alan su</x:v>
      </x:c>
      <x:c r="E5" t="str">
        <x:v>Banka</x:v>
      </x:c>
      <x:c r="F5" s="22" t="n">
        <x:v>820</x:v>
      </x:c>
      <x:c r="G5" s="22" t="str">
        <x:v>B002-G0002</x:v>
      </x:c>
      <x:c r="H5" s="22" t="n">
        <x:f>$F5*Sakinler!$E$4</x:f>
        <x:v>63.83233532934132</x:v>
      </x:c>
      <x:c r="I5" s="22" t="n">
        <x:f>$F5*Sakinler!$E$5</x:f>
        <x:v>63.83233532934132</x:v>
      </x:c>
      <x:c r="J5" s="22" t="n">
        <x:f>$F5*Sakinler!$E$6</x:f>
        <x:v>85.92814371257485</x:v>
      </x:c>
      <x:c r="K5" s="22" t="n">
        <x:f>$F5*Sakinler!$E$7</x:f>
        <x:v>55.64870259481038</x:v>
      </x:c>
      <x:c r="L5" s="22" t="n">
        <x:f>$F5*Sakinler!$E$8</x:f>
        <x:v>78.562874251497</x:v>
      </x:c>
      <x:c r="M5" s="22" t="n">
        <x:f>$F5*Sakinler!$E$9</x:f>
        <x:v>96.56686626746507</x:v>
      </x:c>
      <x:c r="N5" s="22" t="n">
        <x:f>$F5*Sakinler!$E$10</x:f>
        <x:v>58.92215568862275</x:v>
      </x:c>
      <x:c r="O5" s="22" t="n">
        <x:f>$F5*Sakinler!$E$11</x:f>
        <x:v>129.3013972055888</x:v>
      </x:c>
      <x:c r="P5" s="22" t="n">
        <x:f>$F5*Sakinler!$E$12</x:f>
        <x:v>68.74251497005987</x:v>
      </x:c>
      <x:c r="Q5" s="22" t="n">
        <x:f>$F5*Sakinler!$E$13</x:f>
        <x:v>118.66267465069859</x:v>
      </x:c>
      <x:c r="R5" s="22" t="n">
        <x:f>SUM(H5:Q5)</x:f>
        <x:v>820</x:v>
      </x:c>
    </x:row>
    <x:row r="6">
      <x:c r="A6" s="20" t="n">
        <x:v>46004</x:v>
      </x:c>
      <x:c r="B6" s="20" t="n">
        <x:v>45992</x:v>
      </x:c>
      <x:c r="C6" t="str">
        <x:v>Asansör Bakımı</x:v>
      </x:c>
      <x:c r="D6" t="str">
        <x:v>Aylık asansör bakımı</x:v>
      </x:c>
      <x:c r="E6" t="str">
        <x:v>Banka</x:v>
      </x:c>
      <x:c r="F6" s="22" t="n">
        <x:v>2100</x:v>
      </x:c>
      <x:c r="G6" s="22" t="str">
        <x:v>B002-G0003</x:v>
      </x:c>
      <x:c r="H6" s="22" t="n">
        <x:f>$F6*Sakinler!$E$4</x:f>
        <x:v>163.47305389221557</x:v>
      </x:c>
      <x:c r="I6" s="22" t="n">
        <x:f>$F6*Sakinler!$E$5</x:f>
        <x:v>163.47305389221557</x:v>
      </x:c>
      <x:c r="J6" s="22" t="n">
        <x:f>$F6*Sakinler!$E$6</x:f>
        <x:v>220.05988023952094</x:v>
      </x:c>
      <x:c r="K6" s="22" t="n">
        <x:f>$F6*Sakinler!$E$7</x:f>
        <x:v>142.51497005988026</x:v>
      </x:c>
      <x:c r="L6" s="22" t="n">
        <x:f>$F6*Sakinler!$E$8</x:f>
        <x:v>201.19760479041918</x:v>
      </x:c>
      <x:c r="M6" s="22" t="n">
        <x:f>$F6*Sakinler!$E$9</x:f>
        <x:v>247.30538922155688</x:v>
      </x:c>
      <x:c r="N6" s="22" t="n">
        <x:f>$F6*Sakinler!$E$10</x:f>
        <x:v>150.89820359281435</x:v>
      </x:c>
      <x:c r="O6" s="22" t="n">
        <x:f>$F6*Sakinler!$E$11</x:f>
        <x:v>331.1377245508982</x:v>
      </x:c>
      <x:c r="P6" s="22" t="n">
        <x:f>$F6*Sakinler!$E$12</x:f>
        <x:v>176.04790419161677</x:v>
      </x:c>
      <x:c r="Q6" s="22" t="n">
        <x:f>$F6*Sakinler!$E$13</x:f>
        <x:v>303.89221556886224</x:v>
      </x:c>
      <x:c r="R6" s="22" t="n">
        <x:f>SUM(H6:Q6)</x:f>
        <x:v>2100</x:v>
      </x:c>
    </x:row>
    <x:row r="7">
      <x:c r="A7" s="20" t="n">
        <x:v>46008</x:v>
      </x:c>
      <x:c r="B7" s="20" t="n">
        <x:v>45992</x:v>
      </x:c>
      <x:c r="C7" t="str">
        <x:v>Jeneratör Bakımı</x:v>
      </x:c>
      <x:c r="D7" t="str">
        <x:v>Jeneratör periyodik kontrol</x:v>
      </x:c>
      <x:c r="E7" t="str">
        <x:v>Banka</x:v>
      </x:c>
      <x:c r="F7" s="22" t="n">
        <x:v>1800</x:v>
      </x:c>
      <x:c r="G7" s="22" t="str">
        <x:v>B002-G0004</x:v>
      </x:c>
      <x:c r="H7" s="22" t="n">
        <x:f>$F7*Sakinler!$E$4</x:f>
        <x:v>140.11976047904193</x:v>
      </x:c>
      <x:c r="I7" s="22" t="n">
        <x:f>$F7*Sakinler!$E$5</x:f>
        <x:v>140.11976047904193</x:v>
      </x:c>
      <x:c r="J7" s="22" t="n">
        <x:f>$F7*Sakinler!$E$6</x:f>
        <x:v>188.62275449101796</x:v>
      </x:c>
      <x:c r="K7" s="22" t="n">
        <x:f>$F7*Sakinler!$E$7</x:f>
        <x:v>122.1556886227545</x:v>
      </x:c>
      <x:c r="L7" s="22" t="n">
        <x:f>$F7*Sakinler!$E$8</x:f>
        <x:v>172.4550898203593</x:v>
      </x:c>
      <x:c r="M7" s="22" t="n">
        <x:f>$F7*Sakinler!$E$9</x:f>
        <x:v>211.97604790419163</x:v>
      </x:c>
      <x:c r="N7" s="22" t="n">
        <x:f>$F7*Sakinler!$E$10</x:f>
        <x:v>129.34131736526945</x:v>
      </x:c>
      <x:c r="O7" s="22" t="n">
        <x:f>$F7*Sakinler!$E$11</x:f>
        <x:v>283.83233532934133</x:v>
      </x:c>
      <x:c r="P7" s="22" t="n">
        <x:f>$F7*Sakinler!$E$12</x:f>
        <x:v>150.89820359281435</x:v>
      </x:c>
      <x:c r="Q7" s="22" t="n">
        <x:f>$F7*Sakinler!$E$13</x:f>
        <x:v>260.47904191616766</x:v>
      </x:c>
      <x:c r="R7" s="22" t="n">
        <x:f>SUM(H7:Q7)</x:f>
        <x:v>1800</x:v>
      </x:c>
    </x:row>
    <x:row r="8">
      <x:c r="A8" s="20" t="n">
        <x:v>46012</x:v>
      </x:c>
      <x:c r="B8" s="20" t="n">
        <x:v>45992</x:v>
      </x:c>
      <x:c r="C8" t="str">
        <x:v>Temizlik</x:v>
      </x:c>
      <x:c r="D8" t="str">
        <x:v>Ortak alan temizliği</x:v>
      </x:c>
      <x:c r="E8" t="str">
        <x:v>Nakit</x:v>
      </x:c>
      <x:c r="F8" s="22" t="n">
        <x:v>2800</x:v>
      </x:c>
      <x:c r="G8" s="22" t="str">
        <x:v>B002-G0005</x:v>
      </x:c>
      <x:c r="H8" s="22" t="n">
        <x:f>$F8*Sakinler!$E$4</x:f>
        <x:v>217.96407185628743</x:v>
      </x:c>
      <x:c r="I8" s="22" t="n">
        <x:f>$F8*Sakinler!$E$5</x:f>
        <x:v>217.96407185628743</x:v>
      </x:c>
      <x:c r="J8" s="22" t="n">
        <x:f>$F8*Sakinler!$E$6</x:f>
        <x:v>293.4131736526946</x:v>
      </x:c>
      <x:c r="K8" s="22" t="n">
        <x:f>$F8*Sakinler!$E$7</x:f>
        <x:v>190.01996007984033</x:v>
      </x:c>
      <x:c r="L8" s="22" t="n">
        <x:f>$F8*Sakinler!$E$8</x:f>
        <x:v>268.26347305389226</x:v>
      </x:c>
      <x:c r="M8" s="22" t="n">
        <x:f>$F8*Sakinler!$E$9</x:f>
        <x:v>329.74051896207584</x:v>
      </x:c>
      <x:c r="N8" s="22" t="n">
        <x:f>$F8*Sakinler!$E$10</x:f>
        <x:v>201.19760479041915</x:v>
      </x:c>
      <x:c r="O8" s="22" t="n">
        <x:f>$F8*Sakinler!$E$11</x:f>
        <x:v>441.5169660678643</x:v>
      </x:c>
      <x:c r="P8" s="22" t="n">
        <x:f>$F8*Sakinler!$E$12</x:f>
        <x:v>234.7305389221557</x:v>
      </x:c>
      <x:c r="Q8" s="22" t="n">
        <x:f>$F8*Sakinler!$E$13</x:f>
        <x:v>405.189620758483</x:v>
      </x:c>
      <x:c r="R8" s="22" t="n">
        <x:f>SUM(H8:Q8)</x:f>
        <x:v>2800</x:v>
      </x:c>
    </x:row>
    <x:row r="9">
      <x:c r="A9" s="20" t="n">
        <x:v>46016</x:v>
      </x:c>
      <x:c r="B9" s="20" t="n">
        <x:v>45992</x:v>
      </x:c>
      <x:c r="C9" t="str">
        <x:v>Yönetim Hizmeti</x:v>
      </x:c>
      <x:c r="D9" t="str">
        <x:v>Yönetim hizmet bedeli</x:v>
      </x:c>
      <x:c r="E9" t="str">
        <x:v>Banka</x:v>
      </x:c>
      <x:c r="F9" s="22" t="n">
        <x:v>2500</x:v>
      </x:c>
      <x:c r="G9" s="22" t="str">
        <x:v>B002-G0006</x:v>
      </x:c>
      <x:c r="H9" s="22" t="n">
        <x:f>$F9*Sakinler!$E$4</x:f>
        <x:v>194.6107784431138</x:v>
      </x:c>
      <x:c r="I9" s="22" t="n">
        <x:f>$F9*Sakinler!$E$5</x:f>
        <x:v>194.6107784431138</x:v>
      </x:c>
      <x:c r="J9" s="22" t="n">
        <x:f>$F9*Sakinler!$E$6</x:f>
        <x:v>261.9760479041916</x:v>
      </x:c>
      <x:c r="K9" s="22" t="n">
        <x:f>$F9*Sakinler!$E$7</x:f>
        <x:v>169.66067864271457</x:v>
      </x:c>
      <x:c r="L9" s="22" t="n">
        <x:f>$F9*Sakinler!$E$8</x:f>
        <x:v>239.52095808383234</x:v>
      </x:c>
      <x:c r="M9" s="22" t="n">
        <x:f>$F9*Sakinler!$E$9</x:f>
        <x:v>294.41117764471056</x:v>
      </x:c>
      <x:c r="N9" s="22" t="n">
        <x:f>$F9*Sakinler!$E$10</x:f>
        <x:v>179.64071856287424</x:v>
      </x:c>
      <x:c r="O9" s="22" t="n">
        <x:f>$F9*Sakinler!$E$11</x:f>
        <x:v>394.21157684630737</x:v>
      </x:c>
      <x:c r="P9" s="22" t="n">
        <x:f>$F9*Sakinler!$E$12</x:f>
        <x:v>209.58083832335328</x:v>
      </x:c>
      <x:c r="Q9" s="22" t="n">
        <x:f>$F9*Sakinler!$E$13</x:f>
        <x:v>361.7764471057884</x:v>
      </x:c>
      <x:c r="R9" s="22" t="n">
        <x:f>SUM(H9:Q9)</x:f>
        <x:v>2500</x:v>
      </x:c>
    </x:row>
    <x:row r="10">
      <x:c r="A10" s="20" t="n">
        <x:v>46027</x:v>
      </x:c>
      <x:c r="B10" s="20" t="n">
        <x:v>46023</x:v>
      </x:c>
      <x:c r="C10" t="str">
        <x:v>Ortak Alan Elektrik</x:v>
      </x:c>
      <x:c r="D10" t="str">
        <x:v>Ocak ortak alan elektrik</x:v>
      </x:c>
      <x:c r="E10" t="str">
        <x:v>Banka</x:v>
      </x:c>
      <x:c r="F10" s="22" t="n">
        <x:v>1650</x:v>
      </x:c>
      <x:c r="G10" s="22" t="str">
        <x:v>B002-G0007</x:v>
      </x:c>
      <x:c r="H10" s="22" t="n">
        <x:f>$F10*Sakinler!$E$4</x:f>
        <x:v>128.4431137724551</x:v>
      </x:c>
      <x:c r="I10" s="22" t="n">
        <x:f>$F10*Sakinler!$E$5</x:f>
        <x:v>128.4431137724551</x:v>
      </x:c>
      <x:c r="J10" s="22" t="n">
        <x:f>$F10*Sakinler!$E$6</x:f>
        <x:v>172.90419161676647</x:v>
      </x:c>
      <x:c r="K10" s="22" t="n">
        <x:f>$F10*Sakinler!$E$7</x:f>
        <x:v>111.97604790419162</x:v>
      </x:c>
      <x:c r="L10" s="22" t="n">
        <x:f>$F10*Sakinler!$E$8</x:f>
        <x:v>158.08383233532936</x:v>
      </x:c>
      <x:c r="M10" s="22" t="n">
        <x:f>$F10*Sakinler!$E$9</x:f>
        <x:v>194.311377245509</x:v>
      </x:c>
      <x:c r="N10" s="22" t="n">
        <x:f>$F10*Sakinler!$E$10</x:f>
        <x:v>118.562874251497</x:v>
      </x:c>
      <x:c r="O10" s="22" t="n">
        <x:f>$F10*Sakinler!$E$11</x:f>
        <x:v>260.1796407185629</x:v>
      </x:c>
      <x:c r="P10" s="22" t="n">
        <x:f>$F10*Sakinler!$E$12</x:f>
        <x:v>138.32335329341316</x:v>
      </x:c>
      <x:c r="Q10" s="22" t="n">
        <x:f>$F10*Sakinler!$E$13</x:f>
        <x:v>238.77245508982034</x:v>
      </x:c>
      <x:c r="R10" s="22" t="n">
        <x:f>SUM(H10:Q10)</x:f>
        <x:v>1650</x:v>
      </x:c>
    </x:row>
    <x:row r="11">
      <x:c r="A11" s="20" t="n">
        <x:v>46031</x:v>
      </x:c>
      <x:c r="B11" s="20" t="n">
        <x:v>46023</x:v>
      </x:c>
      <x:c r="C11" t="str">
        <x:v>Ortak Alan Su</x:v>
      </x:c>
      <x:c r="D11" t="str">
        <x:v>Ocak ortak alan su</x:v>
      </x:c>
      <x:c r="E11" t="str">
        <x:v>Banka</x:v>
      </x:c>
      <x:c r="F11" s="22" t="n">
        <x:v>850</x:v>
      </x:c>
      <x:c r="G11" s="22" t="str">
        <x:v>B002-G0008</x:v>
      </x:c>
      <x:c r="H11" s="22" t="n">
        <x:f>$F11*Sakinler!$E$4</x:f>
        <x:v>66.16766467065868</x:v>
      </x:c>
      <x:c r="I11" s="22" t="n">
        <x:f>$F11*Sakinler!$E$5</x:f>
        <x:v>66.16766467065868</x:v>
      </x:c>
      <x:c r="J11" s="22" t="n">
        <x:f>$F11*Sakinler!$E$6</x:f>
        <x:v>89.07185628742515</x:v>
      </x:c>
      <x:c r="K11" s="22" t="n">
        <x:f>$F11*Sakinler!$E$7</x:f>
        <x:v>57.684630738522955</x:v>
      </x:c>
      <x:c r="L11" s="22" t="n">
        <x:f>$F11*Sakinler!$E$8</x:f>
        <x:v>81.437125748503</x:v>
      </x:c>
      <x:c r="M11" s="22" t="n">
        <x:f>$F11*Sakinler!$E$9</x:f>
        <x:v>100.0998003992016</x:v>
      </x:c>
      <x:c r="N11" s="22" t="n">
        <x:f>$F11*Sakinler!$E$10</x:f>
        <x:v>61.07784431137724</x:v>
      </x:c>
      <x:c r="O11" s="22" t="n">
        <x:f>$F11*Sakinler!$E$11</x:f>
        <x:v>134.0319361277445</x:v>
      </x:c>
      <x:c r="P11" s="22" t="n">
        <x:f>$F11*Sakinler!$E$12</x:f>
        <x:v>71.25748502994011</x:v>
      </x:c>
      <x:c r="Q11" s="22" t="n">
        <x:f>$F11*Sakinler!$E$13</x:f>
        <x:v>123.00399201596805</x:v>
      </x:c>
      <x:c r="R11" s="22" t="n">
        <x:f>SUM(H11:Q11)</x:f>
        <x:v>850</x:v>
      </x:c>
    </x:row>
    <x:row r="12">
      <x:c r="A12" s="20" t="n">
        <x:v>46035</x:v>
      </x:c>
      <x:c r="B12" s="20" t="n">
        <x:v>46023</x:v>
      </x:c>
      <x:c r="C12" t="str">
        <x:v>Asansör Bakımı</x:v>
      </x:c>
      <x:c r="D12" t="str">
        <x:v>Aylık asansör bakımı</x:v>
      </x:c>
      <x:c r="E12" t="str">
        <x:v>Banka</x:v>
      </x:c>
      <x:c r="F12" s="22" t="n">
        <x:v>2100</x:v>
      </x:c>
      <x:c r="G12" s="22" t="str">
        <x:v>B002-G0009</x:v>
      </x:c>
      <x:c r="H12" s="22" t="n">
        <x:f>$F12*Sakinler!$E$4</x:f>
        <x:v>163.47305389221557</x:v>
      </x:c>
      <x:c r="I12" s="22" t="n">
        <x:f>$F12*Sakinler!$E$5</x:f>
        <x:v>163.47305389221557</x:v>
      </x:c>
      <x:c r="J12" s="22" t="n">
        <x:f>$F12*Sakinler!$E$6</x:f>
        <x:v>220.05988023952094</x:v>
      </x:c>
      <x:c r="K12" s="22" t="n">
        <x:f>$F12*Sakinler!$E$7</x:f>
        <x:v>142.51497005988026</x:v>
      </x:c>
      <x:c r="L12" s="22" t="n">
        <x:f>$F12*Sakinler!$E$8</x:f>
        <x:v>201.19760479041918</x:v>
      </x:c>
      <x:c r="M12" s="22" t="n">
        <x:f>$F12*Sakinler!$E$9</x:f>
        <x:v>247.30538922155688</x:v>
      </x:c>
      <x:c r="N12" s="22" t="n">
        <x:f>$F12*Sakinler!$E$10</x:f>
        <x:v>150.89820359281435</x:v>
      </x:c>
      <x:c r="O12" s="22" t="n">
        <x:f>$F12*Sakinler!$E$11</x:f>
        <x:v>331.1377245508982</x:v>
      </x:c>
      <x:c r="P12" s="22" t="n">
        <x:f>$F12*Sakinler!$E$12</x:f>
        <x:v>176.04790419161677</x:v>
      </x:c>
      <x:c r="Q12" s="22" t="n">
        <x:f>$F12*Sakinler!$E$13</x:f>
        <x:v>303.89221556886224</x:v>
      </x:c>
      <x:c r="R12" s="22" t="n">
        <x:f>SUM(H12:Q12)</x:f>
        <x:v>2100</x:v>
      </x:c>
    </x:row>
    <x:row r="13">
      <x:c r="A13" s="20" t="n">
        <x:v>46039</x:v>
      </x:c>
      <x:c r="B13" s="20" t="n">
        <x:v>46023</x:v>
      </x:c>
      <x:c r="C13" t="str">
        <x:v>Hidrofor Bakımı</x:v>
      </x:c>
      <x:c r="D13" t="str">
        <x:v>Hidrofor bakım ve ayar</x:v>
      </x:c>
      <x:c r="E13" t="str">
        <x:v>Banka</x:v>
      </x:c>
      <x:c r="F13" s="22" t="n">
        <x:v>3200</x:v>
      </x:c>
      <x:c r="G13" s="22" t="str">
        <x:v>B002-G0010</x:v>
      </x:c>
      <x:c r="H13" s="22" t="n">
        <x:f>$F13*Sakinler!$E$4</x:f>
        <x:v>249.10179640718565</x:v>
      </x:c>
      <x:c r="I13" s="22" t="n">
        <x:f>$F13*Sakinler!$E$5</x:f>
        <x:v>249.10179640718565</x:v>
      </x:c>
      <x:c r="J13" s="22" t="n">
        <x:f>$F13*Sakinler!$E$6</x:f>
        <x:v>335.3293413173652</x:v>
      </x:c>
      <x:c r="K13" s="22" t="n">
        <x:f>$F13*Sakinler!$E$7</x:f>
        <x:v>217.16566866267465</x:v>
      </x:c>
      <x:c r="L13" s="22" t="n">
        <x:f>$F13*Sakinler!$E$8</x:f>
        <x:v>306.5868263473054</x:v>
      </x:c>
      <x:c r="M13" s="22" t="n">
        <x:f>$F13*Sakinler!$E$9</x:f>
        <x:v>376.8463073852296</x:v>
      </x:c>
      <x:c r="N13" s="22" t="n">
        <x:f>$F13*Sakinler!$E$10</x:f>
        <x:v>229.94011976047904</x:v>
      </x:c>
      <x:c r="O13" s="22" t="n">
        <x:f>$F13*Sakinler!$E$11</x:f>
        <x:v>504.59081836327346</x:v>
      </x:c>
      <x:c r="P13" s="22" t="n">
        <x:f>$F13*Sakinler!$E$12</x:f>
        <x:v>268.2634730538922</x:v>
      </x:c>
      <x:c r="Q13" s="22" t="n">
        <x:f>$F13*Sakinler!$E$13</x:f>
        <x:v>463.07385229540915</x:v>
      </x:c>
      <x:c r="R13" s="22" t="n">
        <x:f>SUM(H13:Q13)</x:f>
        <x:v>3200</x:v>
      </x:c>
    </x:row>
    <x:row r="14">
      <x:c r="A14" s="20" t="n">
        <x:v>46043</x:v>
      </x:c>
      <x:c r="B14" s="20" t="n">
        <x:v>46023</x:v>
      </x:c>
      <x:c r="C14" t="str">
        <x:v>Temizlik</x:v>
      </x:c>
      <x:c r="D14" t="str">
        <x:v>Ortak alan temizliği</x:v>
      </x:c>
      <x:c r="E14" t="str">
        <x:v>Nakit</x:v>
      </x:c>
      <x:c r="F14" s="22" t="n">
        <x:v>2800</x:v>
      </x:c>
      <x:c r="G14" s="22" t="str">
        <x:v>B002-G0011</x:v>
      </x:c>
      <x:c r="H14" s="22" t="n">
        <x:f>$F14*Sakinler!$E$4</x:f>
        <x:v>217.96407185628743</x:v>
      </x:c>
      <x:c r="I14" s="22" t="n">
        <x:f>$F14*Sakinler!$E$5</x:f>
        <x:v>217.96407185628743</x:v>
      </x:c>
      <x:c r="J14" s="22" t="n">
        <x:f>$F14*Sakinler!$E$6</x:f>
        <x:v>293.4131736526946</x:v>
      </x:c>
      <x:c r="K14" s="22" t="n">
        <x:f>$F14*Sakinler!$E$7</x:f>
        <x:v>190.01996007984033</x:v>
      </x:c>
      <x:c r="L14" s="22" t="n">
        <x:f>$F14*Sakinler!$E$8</x:f>
        <x:v>268.26347305389226</x:v>
      </x:c>
      <x:c r="M14" s="22" t="n">
        <x:f>$F14*Sakinler!$E$9</x:f>
        <x:v>329.74051896207584</x:v>
      </x:c>
      <x:c r="N14" s="22" t="n">
        <x:f>$F14*Sakinler!$E$10</x:f>
        <x:v>201.19760479041915</x:v>
      </x:c>
      <x:c r="O14" s="22" t="n">
        <x:f>$F14*Sakinler!$E$11</x:f>
        <x:v>441.5169660678643</x:v>
      </x:c>
      <x:c r="P14" s="22" t="n">
        <x:f>$F14*Sakinler!$E$12</x:f>
        <x:v>234.7305389221557</x:v>
      </x:c>
      <x:c r="Q14" s="22" t="n">
        <x:f>$F14*Sakinler!$E$13</x:f>
        <x:v>405.189620758483</x:v>
      </x:c>
      <x:c r="R14" s="22" t="n">
        <x:f>SUM(H14:Q14)</x:f>
        <x:v>2800</x:v>
      </x:c>
    </x:row>
    <x:row r="15">
      <x:c r="A15" s="20" t="n">
        <x:v>46047</x:v>
      </x:c>
      <x:c r="B15" s="20" t="n">
        <x:v>46023</x:v>
      </x:c>
      <x:c r="C15" t="str">
        <x:v>Yönetim Hizmeti</x:v>
      </x:c>
      <x:c r="D15" t="str">
        <x:v>Yönetim hizmet bedeli</x:v>
      </x:c>
      <x:c r="E15" t="str">
        <x:v>Banka</x:v>
      </x:c>
      <x:c r="F15" s="22" t="n">
        <x:v>2500</x:v>
      </x:c>
      <x:c r="G15" s="22" t="str">
        <x:v>B002-G0012</x:v>
      </x:c>
      <x:c r="H15" s="22" t="n">
        <x:f>$F15*Sakinler!$E$4</x:f>
        <x:v>194.6107784431138</x:v>
      </x:c>
      <x:c r="I15" s="22" t="n">
        <x:f>$F15*Sakinler!$E$5</x:f>
        <x:v>194.6107784431138</x:v>
      </x:c>
      <x:c r="J15" s="22" t="n">
        <x:f>$F15*Sakinler!$E$6</x:f>
        <x:v>261.9760479041916</x:v>
      </x:c>
      <x:c r="K15" s="22" t="n">
        <x:f>$F15*Sakinler!$E$7</x:f>
        <x:v>169.66067864271457</x:v>
      </x:c>
      <x:c r="L15" s="22" t="n">
        <x:f>$F15*Sakinler!$E$8</x:f>
        <x:v>239.52095808383234</x:v>
      </x:c>
      <x:c r="M15" s="22" t="n">
        <x:f>$F15*Sakinler!$E$9</x:f>
        <x:v>294.41117764471056</x:v>
      </x:c>
      <x:c r="N15" s="22" t="n">
        <x:f>$F15*Sakinler!$E$10</x:f>
        <x:v>179.64071856287424</x:v>
      </x:c>
      <x:c r="O15" s="22" t="n">
        <x:f>$F15*Sakinler!$E$11</x:f>
        <x:v>394.21157684630737</x:v>
      </x:c>
      <x:c r="P15" s="22" t="n">
        <x:f>$F15*Sakinler!$E$12</x:f>
        <x:v>209.58083832335328</x:v>
      </x:c>
      <x:c r="Q15" s="22" t="n">
        <x:f>$F15*Sakinler!$E$13</x:f>
        <x:v>361.7764471057884</x:v>
      </x:c>
      <x:c r="R15" s="22" t="n">
        <x:f>SUM(H15:Q15)</x:f>
        <x:v>2500</x:v>
      </x:c>
    </x:row>
    <x:row r="16">
      <x:c r="A16" s="20" t="n">
        <x:v>46058</x:v>
      </x:c>
      <x:c r="B16" s="20" t="n">
        <x:v>46054</x:v>
      </x:c>
      <x:c r="C16" t="str">
        <x:v>Ortak Alan Elektrik</x:v>
      </x:c>
      <x:c r="D16" t="str">
        <x:v>Şubat ortak alan elektrik</x:v>
      </x:c>
      <x:c r="E16" t="str">
        <x:v>Banka</x:v>
      </x:c>
      <x:c r="F16" s="22" t="n">
        <x:v>1720</x:v>
      </x:c>
      <x:c r="G16" s="22" t="str">
        <x:v>B002-G0013</x:v>
      </x:c>
      <x:c r="H16" s="22" t="n">
        <x:f>$F16*Sakinler!$E$4</x:f>
        <x:v>133.89221556886227</x:v>
      </x:c>
      <x:c r="I16" s="22" t="n">
        <x:f>$F16*Sakinler!$E$5</x:f>
        <x:v>133.89221556886227</x:v>
      </x:c>
      <x:c r="J16" s="22" t="n">
        <x:f>$F16*Sakinler!$E$6</x:f>
        <x:v>180.23952095808383</x:v>
      </x:c>
      <x:c r="K16" s="22" t="n">
        <x:f>$F16*Sakinler!$E$7</x:f>
        <x:v>116.72654690618764</x:v>
      </x:c>
      <x:c r="L16" s="22" t="n">
        <x:f>$F16*Sakinler!$E$8</x:f>
        <x:v>164.79041916167665</x:v>
      </x:c>
      <x:c r="M16" s="22" t="n">
        <x:f>$F16*Sakinler!$E$9</x:f>
        <x:v>202.5548902195609</x:v>
      </x:c>
      <x:c r="N16" s="22" t="n">
        <x:f>$F16*Sakinler!$E$10</x:f>
        <x:v>123.59281437125748</x:v>
      </x:c>
      <x:c r="O16" s="22" t="n">
        <x:f>$F16*Sakinler!$E$11</x:f>
        <x:v>271.2175648702595</x:v>
      </x:c>
      <x:c r="P16" s="22" t="n">
        <x:f>$F16*Sakinler!$E$12</x:f>
        <x:v>144.19161676646706</x:v>
      </x:c>
      <x:c r="Q16" s="22" t="n">
        <x:f>$F16*Sakinler!$E$13</x:f>
        <x:v>248.90219560878242</x:v>
      </x:c>
      <x:c r="R16" s="22" t="n">
        <x:f>SUM(H16:Q16)</x:f>
        <x:v>1720.0000000000002</x:v>
      </x:c>
    </x:row>
    <x:row r="17">
      <x:c r="A17" s="20" t="n">
        <x:v>46062</x:v>
      </x:c>
      <x:c r="B17" s="20" t="n">
        <x:v>46054</x:v>
      </x:c>
      <x:c r="C17" t="str">
        <x:v>Ortak Alan Su</x:v>
      </x:c>
      <x:c r="D17" t="str">
        <x:v>Şubat ortak alan su</x:v>
      </x:c>
      <x:c r="E17" t="str">
        <x:v>Banka</x:v>
      </x:c>
      <x:c r="F17" s="22" t="n">
        <x:v>920</x:v>
      </x:c>
      <x:c r="G17" s="22" t="str">
        <x:v>B002-G0014</x:v>
      </x:c>
      <x:c r="H17" s="22" t="n">
        <x:f>$F17*Sakinler!$E$4</x:f>
        <x:v>71.61676646706587</x:v>
      </x:c>
      <x:c r="I17" s="22" t="n">
        <x:f>$F17*Sakinler!$E$5</x:f>
        <x:v>71.61676646706587</x:v>
      </x:c>
      <x:c r="J17" s="22" t="n">
        <x:f>$F17*Sakinler!$E$6</x:f>
        <x:v>96.40718562874251</x:v>
      </x:c>
      <x:c r="K17" s="22" t="n">
        <x:f>$F17*Sakinler!$E$7</x:f>
        <x:v>62.43512974051897</x:v>
      </x:c>
      <x:c r="L17" s="22" t="n">
        <x:f>$F17*Sakinler!$E$8</x:f>
        <x:v>88.1437125748503</x:v>
      </x:c>
      <x:c r="M17" s="22" t="n">
        <x:f>$F17*Sakinler!$E$9</x:f>
        <x:v>108.3433133732535</x:v>
      </x:c>
      <x:c r="N17" s="22" t="n">
        <x:f>$F17*Sakinler!$E$10</x:f>
        <x:v>66.10778443113772</x:v>
      </x:c>
      <x:c r="O17" s="22" t="n">
        <x:f>$F17*Sakinler!$E$11</x:f>
        <x:v>145.06986027944112</x:v>
      </x:c>
      <x:c r="P17" s="22" t="n">
        <x:f>$F17*Sakinler!$E$12</x:f>
        <x:v>77.12574850299401</x:v>
      </x:c>
      <x:c r="Q17" s="22" t="n">
        <x:f>$F17*Sakinler!$E$13</x:f>
        <x:v>133.13373253493015</x:v>
      </x:c>
      <x:c r="R17" s="22" t="n">
        <x:f>SUM(H17:Q17)</x:f>
        <x:v>920</x:v>
      </x:c>
    </x:row>
    <x:row r="18">
      <x:c r="A18" s="20" t="n">
        <x:v>46066</x:v>
      </x:c>
      <x:c r="B18" s="20" t="n">
        <x:v>46054</x:v>
      </x:c>
      <x:c r="C18" t="str">
        <x:v>Asansör Bakımı</x:v>
      </x:c>
      <x:c r="D18" t="str">
        <x:v>Aylık asansör bakımı</x:v>
      </x:c>
      <x:c r="E18" t="str">
        <x:v>Banka</x:v>
      </x:c>
      <x:c r="F18" s="22" t="n">
        <x:v>2100</x:v>
      </x:c>
      <x:c r="G18" s="22" t="str">
        <x:v>B002-G0015</x:v>
      </x:c>
      <x:c r="H18" s="22" t="n">
        <x:f>$F18*Sakinler!$E$4</x:f>
        <x:v>163.47305389221557</x:v>
      </x:c>
      <x:c r="I18" s="22" t="n">
        <x:f>$F18*Sakinler!$E$5</x:f>
        <x:v>163.47305389221557</x:v>
      </x:c>
      <x:c r="J18" s="22" t="n">
        <x:f>$F18*Sakinler!$E$6</x:f>
        <x:v>220.05988023952094</x:v>
      </x:c>
      <x:c r="K18" s="22" t="n">
        <x:f>$F18*Sakinler!$E$7</x:f>
        <x:v>142.51497005988026</x:v>
      </x:c>
      <x:c r="L18" s="22" t="n">
        <x:f>$F18*Sakinler!$E$8</x:f>
        <x:v>201.19760479041918</x:v>
      </x:c>
      <x:c r="M18" s="22" t="n">
        <x:f>$F18*Sakinler!$E$9</x:f>
        <x:v>247.30538922155688</x:v>
      </x:c>
      <x:c r="N18" s="22" t="n">
        <x:f>$F18*Sakinler!$E$10</x:f>
        <x:v>150.89820359281435</x:v>
      </x:c>
      <x:c r="O18" s="22" t="n">
        <x:f>$F18*Sakinler!$E$11</x:f>
        <x:v>331.1377245508982</x:v>
      </x:c>
      <x:c r="P18" s="22" t="n">
        <x:f>$F18*Sakinler!$E$12</x:f>
        <x:v>176.04790419161677</x:v>
      </x:c>
      <x:c r="Q18" s="22" t="n">
        <x:f>$F18*Sakinler!$E$13</x:f>
        <x:v>303.89221556886224</x:v>
      </x:c>
      <x:c r="R18" s="22" t="n">
        <x:f>SUM(H18:Q18)</x:f>
        <x:v>2100</x:v>
      </x:c>
    </x:row>
    <x:row r="19">
      <x:c r="A19" s="20" t="n">
        <x:v>46070</x:v>
      </x:c>
      <x:c r="B19" s="20" t="n">
        <x:v>46054</x:v>
      </x:c>
      <x:c r="C19" t="str">
        <x:v>Jeneratör Bakımı</x:v>
      </x:c>
      <x:c r="D19" t="str">
        <x:v>Jeneratör akü ve filtre kontrolü</x:v>
      </x:c>
      <x:c r="E19" t="str">
        <x:v>Banka</x:v>
      </x:c>
      <x:c r="F19" s="22" t="n">
        <x:v>2400</x:v>
      </x:c>
      <x:c r="G19" s="22" t="str">
        <x:v>B002-G0016</x:v>
      </x:c>
      <x:c r="H19" s="22" t="n">
        <x:f>$F19*Sakinler!$E$4</x:f>
        <x:v>186.82634730538922</x:v>
      </x:c>
      <x:c r="I19" s="22" t="n">
        <x:f>$F19*Sakinler!$E$5</x:f>
        <x:v>186.82634730538922</x:v>
      </x:c>
      <x:c r="J19" s="22" t="n">
        <x:f>$F19*Sakinler!$E$6</x:f>
        <x:v>251.49700598802394</x:v>
      </x:c>
      <x:c r="K19" s="22" t="n">
        <x:f>$F19*Sakinler!$E$7</x:f>
        <x:v>162.874251497006</x:v>
      </x:c>
      <x:c r="L19" s="22" t="n">
        <x:f>$F19*Sakinler!$E$8</x:f>
        <x:v>229.94011976047906</x:v>
      </x:c>
      <x:c r="M19" s="22" t="n">
        <x:f>$F19*Sakinler!$E$9</x:f>
        <x:v>282.63473053892216</x:v>
      </x:c>
      <x:c r="N19" s="22" t="n">
        <x:f>$F19*Sakinler!$E$10</x:f>
        <x:v>172.45508982035926</x:v>
      </x:c>
      <x:c r="O19" s="22" t="n">
        <x:f>$F19*Sakinler!$E$11</x:f>
        <x:v>378.4431137724551</x:v>
      </x:c>
      <x:c r="P19" s="22" t="n">
        <x:f>$F19*Sakinler!$E$12</x:f>
        <x:v>201.19760479041915</x:v>
      </x:c>
      <x:c r="Q19" s="22" t="n">
        <x:f>$F19*Sakinler!$E$13</x:f>
        <x:v>347.3053892215569</x:v>
      </x:c>
      <x:c r="R19" s="22" t="n">
        <x:f>SUM(H19:Q19)</x:f>
        <x:v>2400</x:v>
      </x:c>
    </x:row>
    <x:row r="20">
      <x:c r="A20" s="20" t="n">
        <x:v>46074</x:v>
      </x:c>
      <x:c r="B20" s="20" t="n">
        <x:v>46054</x:v>
      </x:c>
      <x:c r="C20" t="str">
        <x:v>Yangın Sistemleri</x:v>
      </x:c>
      <x:c r="D20" t="str">
        <x:v>Yangın tüpü kontrol ve dolumu</x:v>
      </x:c>
      <x:c r="E20" t="str">
        <x:v>Banka</x:v>
      </x:c>
      <x:c r="F20" s="22" t="n">
        <x:v>4200</x:v>
      </x:c>
      <x:c r="G20" s="22" t="str">
        <x:v>B002-G0017</x:v>
      </x:c>
      <x:c r="H20" s="22" t="n">
        <x:f>$F20*Sakinler!$E$4</x:f>
        <x:v>326.94610778443115</x:v>
      </x:c>
      <x:c r="I20" s="22" t="n">
        <x:f>$F20*Sakinler!$E$5</x:f>
        <x:v>326.94610778443115</x:v>
      </x:c>
      <x:c r="J20" s="22" t="n">
        <x:f>$F20*Sakinler!$E$6</x:f>
        <x:v>440.1197604790419</x:v>
      </x:c>
      <x:c r="K20" s="22" t="n">
        <x:f>$F20*Sakinler!$E$7</x:f>
        <x:v>285.0299401197605</x:v>
      </x:c>
      <x:c r="L20" s="22" t="n">
        <x:f>$F20*Sakinler!$E$8</x:f>
        <x:v>402.39520958083835</x:v>
      </x:c>
      <x:c r="M20" s="22" t="n">
        <x:f>$F20*Sakinler!$E$9</x:f>
        <x:v>494.61077844311376</x:v>
      </x:c>
      <x:c r="N20" s="22" t="n">
        <x:f>$F20*Sakinler!$E$10</x:f>
        <x:v>301.7964071856287</x:v>
      </x:c>
      <x:c r="O20" s="22" t="n">
        <x:f>$F20*Sakinler!$E$11</x:f>
        <x:v>662.2754491017964</x:v>
      </x:c>
      <x:c r="P20" s="22" t="n">
        <x:f>$F20*Sakinler!$E$12</x:f>
        <x:v>352.09580838323353</x:v>
      </x:c>
      <x:c r="Q20" s="22" t="n">
        <x:f>$F20*Sakinler!$E$13</x:f>
        <x:v>607.7844311377245</x:v>
      </x:c>
      <x:c r="R20" s="22" t="n">
        <x:f>SUM(H20:Q20)</x:f>
        <x:v>4200</x:v>
      </x:c>
    </x:row>
    <x:row r="21">
      <x:c r="A21" s="20" t="n">
        <x:v>46078</x:v>
      </x:c>
      <x:c r="B21" s="20" t="n">
        <x:v>46054</x:v>
      </x:c>
      <x:c r="C21" t="str">
        <x:v>Yönetim Hizmeti</x:v>
      </x:c>
      <x:c r="D21" t="str">
        <x:v>Yönetim hizmet bedeli</x:v>
      </x:c>
      <x:c r="E21" t="str">
        <x:v>Banka</x:v>
      </x:c>
      <x:c r="F21" s="22" t="n">
        <x:v>2500</x:v>
      </x:c>
      <x:c r="G21" s="22" t="str">
        <x:v>B002-G0018</x:v>
      </x:c>
      <x:c r="H21" s="22" t="n">
        <x:f>$F21*Sakinler!$E$4</x:f>
        <x:v>194.6107784431138</x:v>
      </x:c>
      <x:c r="I21" s="22" t="n">
        <x:f>$F21*Sakinler!$E$5</x:f>
        <x:v>194.6107784431138</x:v>
      </x:c>
      <x:c r="J21" s="22" t="n">
        <x:f>$F21*Sakinler!$E$6</x:f>
        <x:v>261.9760479041916</x:v>
      </x:c>
      <x:c r="K21" s="22" t="n">
        <x:f>$F21*Sakinler!$E$7</x:f>
        <x:v>169.66067864271457</x:v>
      </x:c>
      <x:c r="L21" s="22" t="n">
        <x:f>$F21*Sakinler!$E$8</x:f>
        <x:v>239.52095808383234</x:v>
      </x:c>
      <x:c r="M21" s="22" t="n">
        <x:f>$F21*Sakinler!$E$9</x:f>
        <x:v>294.41117764471056</x:v>
      </x:c>
      <x:c r="N21" s="22" t="n">
        <x:f>$F21*Sakinler!$E$10</x:f>
        <x:v>179.64071856287424</x:v>
      </x:c>
      <x:c r="O21" s="22" t="n">
        <x:f>$F21*Sakinler!$E$11</x:f>
        <x:v>394.21157684630737</x:v>
      </x:c>
      <x:c r="P21" s="22" t="n">
        <x:f>$F21*Sakinler!$E$12</x:f>
        <x:v>209.58083832335328</x:v>
      </x:c>
      <x:c r="Q21" s="22" t="n">
        <x:f>$F21*Sakinler!$E$13</x:f>
        <x:v>361.7764471057884</x:v>
      </x:c>
      <x:c r="R21" s="22" t="n">
        <x:f>SUM(H21:Q21)</x:f>
        <x:v>2500</x:v>
      </x:c>
    </x:row>
    <x:row r="22">
      <x:c r="A22" s="20" t="n">
        <x:v>46086</x:v>
      </x:c>
      <x:c r="B22" s="20" t="n">
        <x:v>46082</x:v>
      </x:c>
      <x:c r="C22" t="str">
        <x:v>Ortak Alan Elektrik</x:v>
      </x:c>
      <x:c r="D22" t="str">
        <x:v>Mart ortak alan elektrik</x:v>
      </x:c>
      <x:c r="E22" t="str">
        <x:v>Banka</x:v>
      </x:c>
      <x:c r="F22" s="22" t="n">
        <x:v>1580</x:v>
      </x:c>
      <x:c r="G22" s="22" t="str">
        <x:v>B002-G0019</x:v>
      </x:c>
      <x:c r="H22" s="22" t="n">
        <x:f>$F22*Sakinler!$E$4</x:f>
        <x:v>122.99401197604791</x:v>
      </x:c>
      <x:c r="I22" s="22" t="n">
        <x:f>$F22*Sakinler!$E$5</x:f>
        <x:v>122.99401197604791</x:v>
      </x:c>
      <x:c r="J22" s="22" t="n">
        <x:f>$F22*Sakinler!$E$6</x:f>
        <x:v>165.56886227544908</x:v>
      </x:c>
      <x:c r="K22" s="22" t="n">
        <x:f>$F22*Sakinler!$E$7</x:f>
        <x:v>107.22554890219561</x:v>
      </x:c>
      <x:c r="L22" s="22" t="n">
        <x:f>$F22*Sakinler!$E$8</x:f>
        <x:v>151.37724550898204</x:v>
      </x:c>
      <x:c r="M22" s="22" t="n">
        <x:f>$F22*Sakinler!$E$9</x:f>
        <x:v>186.0678642714571</x:v>
      </x:c>
      <x:c r="N22" s="22" t="n">
        <x:f>$F22*Sakinler!$E$10</x:f>
        <x:v>113.53293413173652</x:v>
      </x:c>
      <x:c r="O22" s="22" t="n">
        <x:f>$F22*Sakinler!$E$11</x:f>
        <x:v>249.14171656686628</x:v>
      </x:c>
      <x:c r="P22" s="22" t="n">
        <x:f>$F22*Sakinler!$E$12</x:f>
        <x:v>132.45508982035926</x:v>
      </x:c>
      <x:c r="Q22" s="22" t="n">
        <x:f>$F22*Sakinler!$E$13</x:f>
        <x:v>228.64271457085826</x:v>
      </x:c>
      <x:c r="R22" s="22" t="n">
        <x:f>SUM(H22:Q22)</x:f>
        <x:v>1580</x:v>
      </x:c>
    </x:row>
    <x:row r="23">
      <x:c r="A23" s="20" t="n">
        <x:v>46090</x:v>
      </x:c>
      <x:c r="B23" s="20" t="n">
        <x:v>46082</x:v>
      </x:c>
      <x:c r="C23" t="str">
        <x:v>Ortak Alan Su</x:v>
      </x:c>
      <x:c r="D23" t="str">
        <x:v>Mart ortak alan su</x:v>
      </x:c>
      <x:c r="E23" t="str">
        <x:v>Banka</x:v>
      </x:c>
      <x:c r="F23" s="22" t="n">
        <x:v>890</x:v>
      </x:c>
      <x:c r="G23" s="22" t="str">
        <x:v>B002-G0020</x:v>
      </x:c>
      <x:c r="H23" s="22" t="n">
        <x:f>$F23*Sakinler!$E$4</x:f>
        <x:v>69.28143712574851</x:v>
      </x:c>
      <x:c r="I23" s="22" t="n">
        <x:f>$F23*Sakinler!$E$5</x:f>
        <x:v>69.28143712574851</x:v>
      </x:c>
      <x:c r="J23" s="22" t="n">
        <x:f>$F23*Sakinler!$E$6</x:f>
        <x:v>93.26347305389221</x:v>
      </x:c>
      <x:c r="K23" s="22" t="n">
        <x:f>$F23*Sakinler!$E$7</x:f>
        <x:v>60.39920159680639</x:v>
      </x:c>
      <x:c r="L23" s="22" t="n">
        <x:f>$F23*Sakinler!$E$8</x:f>
        <x:v>85.26946107784431</x:v>
      </x:c>
      <x:c r="M23" s="22" t="n">
        <x:f>$F23*Sakinler!$E$9</x:f>
        <x:v>104.81037924151697</x:v>
      </x:c>
      <x:c r="N23" s="22" t="n">
        <x:f>$F23*Sakinler!$E$10</x:f>
        <x:v>63.952095808383234</x:v>
      </x:c>
      <x:c r="O23" s="22" t="n">
        <x:f>$F23*Sakinler!$E$11</x:f>
        <x:v>140.33932135728543</x:v>
      </x:c>
      <x:c r="P23" s="22" t="n">
        <x:f>$F23*Sakinler!$E$12</x:f>
        <x:v>74.61077844311377</x:v>
      </x:c>
      <x:c r="Q23" s="22" t="n">
        <x:f>$F23*Sakinler!$E$13</x:f>
        <x:v>128.79241516966067</x:v>
      </x:c>
      <x:c r="R23" s="22" t="n">
        <x:f>SUM(H23:Q23)</x:f>
        <x:v>890</x:v>
      </x:c>
    </x:row>
    <x:row r="24">
      <x:c r="A24" s="20" t="n">
        <x:v>46094</x:v>
      </x:c>
      <x:c r="B24" s="20" t="n">
        <x:v>46082</x:v>
      </x:c>
      <x:c r="C24" t="str">
        <x:v>Asansör Bakımı</x:v>
      </x:c>
      <x:c r="D24" t="str">
        <x:v>Aylık asansör bakımı</x:v>
      </x:c>
      <x:c r="E24" t="str">
        <x:v>Banka</x:v>
      </x:c>
      <x:c r="F24" s="22" t="n">
        <x:v>2100</x:v>
      </x:c>
      <x:c r="G24" s="22" t="str">
        <x:v>B002-G0021</x:v>
      </x:c>
      <x:c r="H24" s="22" t="n">
        <x:f>$F24*Sakinler!$E$4</x:f>
        <x:v>163.47305389221557</x:v>
      </x:c>
      <x:c r="I24" s="22" t="n">
        <x:f>$F24*Sakinler!$E$5</x:f>
        <x:v>163.47305389221557</x:v>
      </x:c>
      <x:c r="J24" s="22" t="n">
        <x:f>$F24*Sakinler!$E$6</x:f>
        <x:v>220.05988023952094</x:v>
      </x:c>
      <x:c r="K24" s="22" t="n">
        <x:f>$F24*Sakinler!$E$7</x:f>
        <x:v>142.51497005988026</x:v>
      </x:c>
      <x:c r="L24" s="22" t="n">
        <x:f>$F24*Sakinler!$E$8</x:f>
        <x:v>201.19760479041918</x:v>
      </x:c>
      <x:c r="M24" s="22" t="n">
        <x:f>$F24*Sakinler!$E$9</x:f>
        <x:v>247.30538922155688</x:v>
      </x:c>
      <x:c r="N24" s="22" t="n">
        <x:f>$F24*Sakinler!$E$10</x:f>
        <x:v>150.89820359281435</x:v>
      </x:c>
      <x:c r="O24" s="22" t="n">
        <x:f>$F24*Sakinler!$E$11</x:f>
        <x:v>331.1377245508982</x:v>
      </x:c>
      <x:c r="P24" s="22" t="n">
        <x:f>$F24*Sakinler!$E$12</x:f>
        <x:v>176.04790419161677</x:v>
      </x:c>
      <x:c r="Q24" s="22" t="n">
        <x:f>$F24*Sakinler!$E$13</x:f>
        <x:v>303.89221556886224</x:v>
      </x:c>
      <x:c r="R24" s="22" t="n">
        <x:f>SUM(H24:Q24)</x:f>
        <x:v>2100</x:v>
      </x:c>
    </x:row>
    <x:row r="25">
      <x:c r="A25" s="20" t="n">
        <x:v>46098</x:v>
      </x:c>
      <x:c r="B25" s="20" t="n">
        <x:v>46082</x:v>
      </x:c>
      <x:c r="C25" t="str">
        <x:v>Onarım</x:v>
      </x:c>
      <x:c r="D25" t="str">
        <x:v>Tesisat ustası küçük onarım</x:v>
      </x:c>
      <x:c r="E25" t="str">
        <x:v>Nakit</x:v>
      </x:c>
      <x:c r="F25" s="22" t="n">
        <x:v>3800</x:v>
      </x:c>
      <x:c r="G25" s="22" t="str">
        <x:v>B002-G0022</x:v>
      </x:c>
      <x:c r="H25" s="22" t="n">
        <x:f>$F25*Sakinler!$E$4</x:f>
        <x:v>295.80838323353294</x:v>
      </x:c>
      <x:c r="I25" s="22" t="n">
        <x:f>$F25*Sakinler!$E$5</x:f>
        <x:v>295.80838323353294</x:v>
      </x:c>
      <x:c r="J25" s="22" t="n">
        <x:f>$F25*Sakinler!$E$6</x:f>
        <x:v>398.20359281437123</x:v>
      </x:c>
      <x:c r="K25" s="22" t="n">
        <x:f>$F25*Sakinler!$E$7</x:f>
        <x:v>257.88423153692617</x:v>
      </x:c>
      <x:c r="L25" s="22" t="n">
        <x:f>$F25*Sakinler!$E$8</x:f>
        <x:v>364.0718562874252</x:v>
      </x:c>
      <x:c r="M25" s="22" t="n">
        <x:f>$F25*Sakinler!$E$9</x:f>
        <x:v>447.5049900199601</x:v>
      </x:c>
      <x:c r="N25" s="22" t="n">
        <x:f>$F25*Sakinler!$E$10</x:f>
        <x:v>273.05389221556885</x:v>
      </x:c>
      <x:c r="O25" s="22" t="n">
        <x:f>$F25*Sakinler!$E$11</x:f>
        <x:v>599.2015968063872</x:v>
      </x:c>
      <x:c r="P25" s="22" t="n">
        <x:f>$F25*Sakinler!$E$12</x:f>
        <x:v>318.56287425149696</x:v>
      </x:c>
      <x:c r="Q25" s="22" t="n">
        <x:f>$F25*Sakinler!$E$13</x:f>
        <x:v>549.9001996007984</x:v>
      </x:c>
      <x:c r="R25" s="22" t="n">
        <x:f>SUM(H25:Q25)</x:f>
        <x:v>3799.9999999999995</x:v>
      </x:c>
    </x:row>
    <x:row r="26">
      <x:c r="A26" s="20" t="n">
        <x:v>46102</x:v>
      </x:c>
      <x:c r="B26" s="20" t="n">
        <x:v>46082</x:v>
      </x:c>
      <x:c r="C26" t="str">
        <x:v>Temizlik</x:v>
      </x:c>
      <x:c r="D26" t="str">
        <x:v>Ortak alan temizliği</x:v>
      </x:c>
      <x:c r="E26" t="str">
        <x:v>Nakit</x:v>
      </x:c>
      <x:c r="F26" s="22" t="n">
        <x:v>3000</x:v>
      </x:c>
      <x:c r="G26" s="22" t="str">
        <x:v>B002-G0023</x:v>
      </x:c>
      <x:c r="H26" s="22" t="n">
        <x:f>$F26*Sakinler!$E$4</x:f>
        <x:v>233.53293413173654</x:v>
      </x:c>
      <x:c r="I26" s="22" t="n">
        <x:f>$F26*Sakinler!$E$5</x:f>
        <x:v>233.53293413173654</x:v>
      </x:c>
      <x:c r="J26" s="22" t="n">
        <x:f>$F26*Sakinler!$E$6</x:f>
        <x:v>314.3712574850299</x:v>
      </x:c>
      <x:c r="K26" s="22" t="n">
        <x:f>$F26*Sakinler!$E$7</x:f>
        <x:v>203.5928143712575</x:v>
      </x:c>
      <x:c r="L26" s="22" t="n">
        <x:f>$F26*Sakinler!$E$8</x:f>
        <x:v>287.4251497005988</x:v>
      </x:c>
      <x:c r="M26" s="22" t="n">
        <x:f>$F26*Sakinler!$E$9</x:f>
        <x:v>353.2934131736527</x:v>
      </x:c>
      <x:c r="N26" s="22" t="n">
        <x:f>$F26*Sakinler!$E$10</x:f>
        <x:v>215.5688622754491</x:v>
      </x:c>
      <x:c r="O26" s="22" t="n">
        <x:f>$F26*Sakinler!$E$11</x:f>
        <x:v>473.05389221556885</x:v>
      </x:c>
      <x:c r="P26" s="22" t="n">
        <x:f>$F26*Sakinler!$E$12</x:f>
        <x:v>251.49700598802394</x:v>
      </x:c>
      <x:c r="Q26" s="22" t="n">
        <x:f>$F26*Sakinler!$E$13</x:f>
        <x:v>434.1317365269461</x:v>
      </x:c>
      <x:c r="R26" s="22" t="n">
        <x:f>SUM(H26:Q26)</x:f>
        <x:v>3000</x:v>
      </x:c>
    </x:row>
    <x:row r="27">
      <x:c r="A27" s="20" t="n">
        <x:v>46106</x:v>
      </x:c>
      <x:c r="B27" s="20" t="n">
        <x:v>46082</x:v>
      </x:c>
      <x:c r="C27" t="str">
        <x:v>Yönetim Hizmeti</x:v>
      </x:c>
      <x:c r="D27" t="str">
        <x:v>Yönetim hizmet bedeli</x:v>
      </x:c>
      <x:c r="E27" t="str">
        <x:v>Banka</x:v>
      </x:c>
      <x:c r="F27" s="22" t="n">
        <x:v>2500</x:v>
      </x:c>
      <x:c r="G27" s="22" t="str">
        <x:v>B002-G0024</x:v>
      </x:c>
      <x:c r="H27" s="22" t="n">
        <x:f>$F27*Sakinler!$E$4</x:f>
        <x:v>194.6107784431138</x:v>
      </x:c>
      <x:c r="I27" s="22" t="n">
        <x:f>$F27*Sakinler!$E$5</x:f>
        <x:v>194.6107784431138</x:v>
      </x:c>
      <x:c r="J27" s="22" t="n">
        <x:f>$F27*Sakinler!$E$6</x:f>
        <x:v>261.9760479041916</x:v>
      </x:c>
      <x:c r="K27" s="22" t="n">
        <x:f>$F27*Sakinler!$E$7</x:f>
        <x:v>169.66067864271457</x:v>
      </x:c>
      <x:c r="L27" s="22" t="n">
        <x:f>$F27*Sakinler!$E$8</x:f>
        <x:v>239.52095808383234</x:v>
      </x:c>
      <x:c r="M27" s="22" t="n">
        <x:f>$F27*Sakinler!$E$9</x:f>
        <x:v>294.41117764471056</x:v>
      </x:c>
      <x:c r="N27" s="22" t="n">
        <x:f>$F27*Sakinler!$E$10</x:f>
        <x:v>179.64071856287424</x:v>
      </x:c>
      <x:c r="O27" s="22" t="n">
        <x:f>$F27*Sakinler!$E$11</x:f>
        <x:v>394.21157684630737</x:v>
      </x:c>
      <x:c r="P27" s="22" t="n">
        <x:f>$F27*Sakinler!$E$12</x:f>
        <x:v>209.58083832335328</x:v>
      </x:c>
      <x:c r="Q27" s="22" t="n">
        <x:f>$F27*Sakinler!$E$13</x:f>
        <x:v>361.7764471057884</x:v>
      </x:c>
      <x:c r="R27" s="22" t="n">
        <x:f>SUM(H27:Q27)</x:f>
        <x:v>2500</x:v>
      </x:c>
    </x:row>
    <x:row r="28">
      <x:c r="A28" s="20" t="n">
        <x:v>46117</x:v>
      </x:c>
      <x:c r="B28" s="20" t="n">
        <x:v>46113</x:v>
      </x:c>
      <x:c r="C28" t="str">
        <x:v>Ortak Alan Elektrik</x:v>
      </x:c>
      <x:c r="D28" t="str">
        <x:v>Nisan ortak alan elektrik</x:v>
      </x:c>
      <x:c r="E28" t="str">
        <x:v>Banka</x:v>
      </x:c>
      <x:c r="F28" s="22" t="n">
        <x:v>1690</x:v>
      </x:c>
      <x:c r="G28" s="22" t="str">
        <x:v>B002-G0025</x:v>
      </x:c>
      <x:c r="H28" s="22" t="n">
        <x:f>$F28*Sakinler!$E$4</x:f>
        <x:v>131.5568862275449</x:v>
      </x:c>
      <x:c r="I28" s="22" t="n">
        <x:f>$F28*Sakinler!$E$5</x:f>
        <x:v>131.5568862275449</x:v>
      </x:c>
      <x:c r="J28" s="22" t="n">
        <x:f>$F28*Sakinler!$E$6</x:f>
        <x:v>177.09580838323353</x:v>
      </x:c>
      <x:c r="K28" s="22" t="n">
        <x:f>$F28*Sakinler!$E$7</x:f>
        <x:v>114.69061876247505</x:v>
      </x:c>
      <x:c r="L28" s="22" t="n">
        <x:f>$F28*Sakinler!$E$8</x:f>
        <x:v>161.91616766467067</x:v>
      </x:c>
      <x:c r="M28" s="22" t="n">
        <x:f>$F28*Sakinler!$E$9</x:f>
        <x:v>199.02195608782435</x:v>
      </x:c>
      <x:c r="N28" s="22" t="n">
        <x:f>$F28*Sakinler!$E$10</x:f>
        <x:v>121.437125748503</x:v>
      </x:c>
      <x:c r="O28" s="22" t="n">
        <x:f>$F28*Sakinler!$E$11</x:f>
        <x:v>266.4870259481038</x:v>
      </x:c>
      <x:c r="P28" s="22" t="n">
        <x:f>$F28*Sakinler!$E$12</x:f>
        <x:v>141.6766467065868</x:v>
      </x:c>
      <x:c r="Q28" s="22" t="n">
        <x:f>$F28*Sakinler!$E$13</x:f>
        <x:v>244.56087824351297</x:v>
      </x:c>
      <x:c r="R28" s="22" t="n">
        <x:f>SUM(H28:Q28)</x:f>
        <x:v>1689.9999999999998</x:v>
      </x:c>
    </x:row>
    <x:row r="29">
      <x:c r="A29" s="20" t="n">
        <x:v>46121</x:v>
      </x:c>
      <x:c r="B29" s="20" t="n">
        <x:v>46113</x:v>
      </x:c>
      <x:c r="C29" t="str">
        <x:v>Ortak Alan Su</x:v>
      </x:c>
      <x:c r="D29" t="str">
        <x:v>Nisan ortak alan su</x:v>
      </x:c>
      <x:c r="E29" t="str">
        <x:v>Banka</x:v>
      </x:c>
      <x:c r="F29" s="22" t="n">
        <x:v>910</x:v>
      </x:c>
      <x:c r="G29" s="22" t="str">
        <x:v>B002-G0026</x:v>
      </x:c>
      <x:c r="H29" s="22" t="n">
        <x:f>$F29*Sakinler!$E$4</x:f>
        <x:v>70.83832335329342</x:v>
      </x:c>
      <x:c r="I29" s="22" t="n">
        <x:f>$F29*Sakinler!$E$5</x:f>
        <x:v>70.83832335329342</x:v>
      </x:c>
      <x:c r="J29" s="22" t="n">
        <x:f>$F29*Sakinler!$E$6</x:f>
        <x:v>95.35928143712574</x:v>
      </x:c>
      <x:c r="K29" s="22" t="n">
        <x:f>$F29*Sakinler!$E$7</x:f>
        <x:v>61.756487025948104</x:v>
      </x:c>
      <x:c r="L29" s="22" t="n">
        <x:f>$F29*Sakinler!$E$8</x:f>
        <x:v>87.18562874251498</x:v>
      </x:c>
      <x:c r="M29" s="22" t="n">
        <x:f>$F29*Sakinler!$E$9</x:f>
        <x:v>107.16566866267465</x:v>
      </x:c>
      <x:c r="N29" s="22" t="n">
        <x:f>$F29*Sakinler!$E$10</x:f>
        <x:v>65.38922155688623</x:v>
      </x:c>
      <x:c r="O29" s="22" t="n">
        <x:f>$F29*Sakinler!$E$11</x:f>
        <x:v>143.49301397205588</x:v>
      </x:c>
      <x:c r="P29" s="22" t="n">
        <x:f>$F29*Sakinler!$E$12</x:f>
        <x:v>76.2874251497006</x:v>
      </x:c>
      <x:c r="Q29" s="22" t="n">
        <x:f>$F29*Sakinler!$E$13</x:f>
        <x:v>131.686626746507</x:v>
      </x:c>
      <x:c r="R29" s="22" t="n">
        <x:f>SUM(H29:Q29)</x:f>
        <x:v>910</x:v>
      </x:c>
    </x:row>
    <x:row r="30">
      <x:c r="A30" s="20" t="n">
        <x:v>46125</x:v>
      </x:c>
      <x:c r="B30" s="20" t="n">
        <x:v>46113</x:v>
      </x:c>
      <x:c r="C30" t="str">
        <x:v>Asansör Bakımı</x:v>
      </x:c>
      <x:c r="D30" t="str">
        <x:v>Aylık asansör bakımı</x:v>
      </x:c>
      <x:c r="E30" t="str">
        <x:v>Banka</x:v>
      </x:c>
      <x:c r="F30" s="22" t="n">
        <x:v>2200</x:v>
      </x:c>
      <x:c r="G30" s="22" t="str">
        <x:v>B002-G0027</x:v>
      </x:c>
      <x:c r="H30" s="22" t="n">
        <x:f>$F30*Sakinler!$E$4</x:f>
        <x:v>171.2574850299401</x:v>
      </x:c>
      <x:c r="I30" s="22" t="n">
        <x:f>$F30*Sakinler!$E$5</x:f>
        <x:v>171.2574850299401</x:v>
      </x:c>
      <x:c r="J30" s="22" t="n">
        <x:f>$F30*Sakinler!$E$6</x:f>
        <x:v>230.5389221556886</x:v>
      </x:c>
      <x:c r="K30" s="22" t="n">
        <x:f>$F30*Sakinler!$E$7</x:f>
        <x:v>149.30139720558884</x:v>
      </x:c>
      <x:c r="L30" s="22" t="n">
        <x:f>$F30*Sakinler!$E$8</x:f>
        <x:v>210.77844311377245</x:v>
      </x:c>
      <x:c r="M30" s="22" t="n">
        <x:f>$F30*Sakinler!$E$9</x:f>
        <x:v>259.08183632734534</x:v>
      </x:c>
      <x:c r="N30" s="22" t="n">
        <x:f>$F30*Sakinler!$E$10</x:f>
        <x:v>158.08383233532933</x:v>
      </x:c>
      <x:c r="O30" s="22" t="n">
        <x:f>$F30*Sakinler!$E$11</x:f>
        <x:v>346.9061876247505</x:v>
      </x:c>
      <x:c r="P30" s="22" t="n">
        <x:f>$F30*Sakinler!$E$12</x:f>
        <x:v>184.4311377245509</x:v>
      </x:c>
      <x:c r="Q30" s="22" t="n">
        <x:f>$F30*Sakinler!$E$13</x:f>
        <x:v>318.3632734530938</x:v>
      </x:c>
      <x:c r="R30" s="22" t="n">
        <x:f>SUM(H30:Q30)</x:f>
        <x:v>2200</x:v>
      </x:c>
    </x:row>
    <x:row r="31">
      <x:c r="A31" s="20" t="n">
        <x:v>46129</x:v>
      </x:c>
      <x:c r="B31" s="20" t="n">
        <x:v>46113</x:v>
      </x:c>
      <x:c r="C31" t="str">
        <x:v>Hidrofor Bakımı</x:v>
      </x:c>
      <x:c r="D31" t="str">
        <x:v>Hidrofor parça değişimi</x:v>
      </x:c>
      <x:c r="E31" t="str">
        <x:v>Banka</x:v>
      </x:c>
      <x:c r="F31" s="22" t="n">
        <x:v>6200</x:v>
      </x:c>
      <x:c r="G31" s="22" t="str">
        <x:v>B002-G0028</x:v>
      </x:c>
      <x:c r="H31" s="22" t="n">
        <x:f>$F31*Sakinler!$E$4</x:f>
        <x:v>482.63473053892216</x:v>
      </x:c>
      <x:c r="I31" s="22" t="n">
        <x:f>$F31*Sakinler!$E$5</x:f>
        <x:v>482.63473053892216</x:v>
      </x:c>
      <x:c r="J31" s="22" t="n">
        <x:f>$F31*Sakinler!$E$6</x:f>
        <x:v>649.7005988023951</x:v>
      </x:c>
      <x:c r="K31" s="22" t="n">
        <x:f>$F31*Sakinler!$E$7</x:f>
        <x:v>420.7584830339322</x:v>
      </x:c>
      <x:c r="L31" s="22" t="n">
        <x:f>$F31*Sakinler!$E$8</x:f>
        <x:v>594.0119760479042</x:v>
      </x:c>
      <x:c r="M31" s="22" t="n">
        <x:f>$F31*Sakinler!$E$9</x:f>
        <x:v>730.1397205588822</x:v>
      </x:c>
      <x:c r="N31" s="22" t="n">
        <x:f>$F31*Sakinler!$E$10</x:f>
        <x:v>445.5089820359281</x:v>
      </x:c>
      <x:c r="O31" s="22" t="n">
        <x:f>$F31*Sakinler!$E$11</x:f>
        <x:v>977.6447105788424</x:v>
      </x:c>
      <x:c r="P31" s="22" t="n">
        <x:f>$F31*Sakinler!$E$12</x:f>
        <x:v>519.7604790419161</x:v>
      </x:c>
      <x:c r="Q31" s="22" t="n">
        <x:f>$F31*Sakinler!$E$13</x:f>
        <x:v>897.2055888223553</x:v>
      </x:c>
      <x:c r="R31" s="22" t="n">
        <x:f>SUM(H31:Q31)</x:f>
        <x:v>6200</x:v>
      </x:c>
    </x:row>
    <x:row r="32">
      <x:c r="A32" s="20" t="n">
        <x:v>46133</x:v>
      </x:c>
      <x:c r="B32" s="20" t="n">
        <x:v>46113</x:v>
      </x:c>
      <x:c r="C32" t="str">
        <x:v>Bahçe Bakımı</x:v>
      </x:c>
      <x:c r="D32" t="str">
        <x:v>Bahçe düzenleme ve bakım</x:v>
      </x:c>
      <x:c r="E32" t="str">
        <x:v>Nakit</x:v>
      </x:c>
      <x:c r="F32" s="22" t="n">
        <x:v>2600</x:v>
      </x:c>
      <x:c r="G32" s="22" t="str">
        <x:v>B002-G0029</x:v>
      </x:c>
      <x:c r="H32" s="22" t="n">
        <x:f>$F32*Sakinler!$E$4</x:f>
        <x:v>202.39520958083833</x:v>
      </x:c>
      <x:c r="I32" s="22" t="n">
        <x:f>$F32*Sakinler!$E$5</x:f>
        <x:v>202.39520958083833</x:v>
      </x:c>
      <x:c r="J32" s="22" t="n">
        <x:f>$F32*Sakinler!$E$6</x:f>
        <x:v>272.45508982035926</x:v>
      </x:c>
      <x:c r="K32" s="22" t="n">
        <x:f>$F32*Sakinler!$E$7</x:f>
        <x:v>176.44710578842316</x:v>
      </x:c>
      <x:c r="L32" s="22" t="n">
        <x:f>$F32*Sakinler!$E$8</x:f>
        <x:v>249.10179640718565</x:v>
      </x:c>
      <x:c r="M32" s="22" t="n">
        <x:f>$F32*Sakinler!$E$9</x:f>
        <x:v>306.187624750499</x:v>
      </x:c>
      <x:c r="N32" s="22" t="n">
        <x:f>$F32*Sakinler!$E$10</x:f>
        <x:v>186.82634730538922</x:v>
      </x:c>
      <x:c r="O32" s="22" t="n">
        <x:f>$F32*Sakinler!$E$11</x:f>
        <x:v>409.9800399201597</x:v>
      </x:c>
      <x:c r="P32" s="22" t="n">
        <x:f>$F32*Sakinler!$E$12</x:f>
        <x:v>217.9640718562874</x:v>
      </x:c>
      <x:c r="Q32" s="22" t="n">
        <x:f>$F32*Sakinler!$E$13</x:f>
        <x:v>376.24750499001993</x:v>
      </x:c>
      <x:c r="R32" s="22" t="n">
        <x:f>SUM(H32:Q32)</x:f>
        <x:v>2600</x:v>
      </x:c>
    </x:row>
    <x:row r="33">
      <x:c r="A33" s="20" t="n">
        <x:v>46137</x:v>
      </x:c>
      <x:c r="B33" s="20" t="n">
        <x:v>46113</x:v>
      </x:c>
      <x:c r="C33" t="str">
        <x:v>Yönetim Hizmeti</x:v>
      </x:c>
      <x:c r="D33" t="str">
        <x:v>Yönetim hizmet bedeli</x:v>
      </x:c>
      <x:c r="E33" t="str">
        <x:v>Banka</x:v>
      </x:c>
      <x:c r="F33" s="22" t="n">
        <x:v>2500</x:v>
      </x:c>
      <x:c r="G33" s="22" t="str">
        <x:v>B002-G0030</x:v>
      </x:c>
      <x:c r="H33" s="22" t="n">
        <x:f>$F33*Sakinler!$E$4</x:f>
        <x:v>194.6107784431138</x:v>
      </x:c>
      <x:c r="I33" s="22" t="n">
        <x:f>$F33*Sakinler!$E$5</x:f>
        <x:v>194.6107784431138</x:v>
      </x:c>
      <x:c r="J33" s="22" t="n">
        <x:f>$F33*Sakinler!$E$6</x:f>
        <x:v>261.9760479041916</x:v>
      </x:c>
      <x:c r="K33" s="22" t="n">
        <x:f>$F33*Sakinler!$E$7</x:f>
        <x:v>169.66067864271457</x:v>
      </x:c>
      <x:c r="L33" s="22" t="n">
        <x:f>$F33*Sakinler!$E$8</x:f>
        <x:v>239.52095808383234</x:v>
      </x:c>
      <x:c r="M33" s="22" t="n">
        <x:f>$F33*Sakinler!$E$9</x:f>
        <x:v>294.41117764471056</x:v>
      </x:c>
      <x:c r="N33" s="22" t="n">
        <x:f>$F33*Sakinler!$E$10</x:f>
        <x:v>179.64071856287424</x:v>
      </x:c>
      <x:c r="O33" s="22" t="n">
        <x:f>$F33*Sakinler!$E$11</x:f>
        <x:v>394.21157684630737</x:v>
      </x:c>
      <x:c r="P33" s="22" t="n">
        <x:f>$F33*Sakinler!$E$12</x:f>
        <x:v>209.58083832335328</x:v>
      </x:c>
      <x:c r="Q33" s="22" t="n">
        <x:f>$F33*Sakinler!$E$13</x:f>
        <x:v>361.7764471057884</x:v>
      </x:c>
      <x:c r="R33" s="22" t="n">
        <x:f>SUM(H33:Q33)</x:f>
        <x:v>2500</x:v>
      </x:c>
    </x:row>
    <x:row r="34">
      <x:c r="A34" s="20" t="n">
        <x:v>46147</x:v>
      </x:c>
      <x:c r="B34" s="20" t="n">
        <x:v>46143</x:v>
      </x:c>
      <x:c r="C34" t="str">
        <x:v>Ortak Alan Elektrik</x:v>
      </x:c>
      <x:c r="D34" t="str">
        <x:v>Mayıs ortak alan elektrik</x:v>
      </x:c>
      <x:c r="E34" t="str">
        <x:v>Banka</x:v>
      </x:c>
      <x:c r="F34" s="22" t="n">
        <x:v>1810</x:v>
      </x:c>
      <x:c r="G34" s="22" t="str">
        <x:v>B002-G0031</x:v>
      </x:c>
      <x:c r="H34" s="22" t="n">
        <x:f>$F34*Sakinler!$E$4</x:f>
        <x:v>140.89820359281438</x:v>
      </x:c>
      <x:c r="I34" s="22" t="n">
        <x:f>$F34*Sakinler!$E$5</x:f>
        <x:v>140.89820359281438</x:v>
      </x:c>
      <x:c r="J34" s="22" t="n">
        <x:f>$F34*Sakinler!$E$6</x:f>
        <x:v>189.67065868263472</x:v>
      </x:c>
      <x:c r="K34" s="22" t="n">
        <x:f>$F34*Sakinler!$E$7</x:f>
        <x:v>122.83433133732535</x:v>
      </x:c>
      <x:c r="L34" s="22" t="n">
        <x:f>$F34*Sakinler!$E$8</x:f>
        <x:v>173.4131736526946</x:v>
      </x:c>
      <x:c r="M34" s="22" t="n">
        <x:f>$F34*Sakinler!$E$9</x:f>
        <x:v>213.15369261477048</x:v>
      </x:c>
      <x:c r="N34" s="22" t="n">
        <x:f>$F34*Sakinler!$E$10</x:f>
        <x:v>130.05988023952096</x:v>
      </x:c>
      <x:c r="O34" s="22" t="n">
        <x:f>$F34*Sakinler!$E$11</x:f>
        <x:v>285.40918163672654</x:v>
      </x:c>
      <x:c r="P34" s="22" t="n">
        <x:f>$F34*Sakinler!$E$12</x:f>
        <x:v>151.73652694610777</x:v>
      </x:c>
      <x:c r="Q34" s="22" t="n">
        <x:f>$F34*Sakinler!$E$13</x:f>
        <x:v>261.9261477045908</x:v>
      </x:c>
      <x:c r="R34" s="22" t="n">
        <x:f>SUM(H34:Q34)</x:f>
        <x:v>1810</x:v>
      </x:c>
    </x:row>
    <x:row r="35">
      <x:c r="A35" s="20" t="n">
        <x:v>46151</x:v>
      </x:c>
      <x:c r="B35" s="20" t="n">
        <x:v>46143</x:v>
      </x:c>
      <x:c r="C35" t="str">
        <x:v>Ortak Alan Su</x:v>
      </x:c>
      <x:c r="D35" t="str">
        <x:v>Mayıs ortak alan su</x:v>
      </x:c>
      <x:c r="E35" t="str">
        <x:v>Banka</x:v>
      </x:c>
      <x:c r="F35" s="22" t="n">
        <x:v>980</x:v>
      </x:c>
      <x:c r="G35" s="22" t="str">
        <x:v>B002-G0032</x:v>
      </x:c>
      <x:c r="H35" s="22" t="n">
        <x:f>$F35*Sakinler!$E$4</x:f>
        <x:v>76.2874251497006</x:v>
      </x:c>
      <x:c r="I35" s="22" t="n">
        <x:f>$F35*Sakinler!$E$5</x:f>
        <x:v>76.2874251497006</x:v>
      </x:c>
      <x:c r="J35" s="22" t="n">
        <x:f>$F35*Sakinler!$E$6</x:f>
        <x:v>102.6946107784431</x:v>
      </x:c>
      <x:c r="K35" s="22" t="n">
        <x:f>$F35*Sakinler!$E$7</x:f>
        <x:v>66.50698602794411</x:v>
      </x:c>
      <x:c r="L35" s="22" t="n">
        <x:f>$F35*Sakinler!$E$8</x:f>
        <x:v>93.89221556886228</x:v>
      </x:c>
      <x:c r="M35" s="22" t="n">
        <x:f>$F35*Sakinler!$E$9</x:f>
        <x:v>115.40918163672654</x:v>
      </x:c>
      <x:c r="N35" s="22" t="n">
        <x:f>$F35*Sakinler!$E$10</x:f>
        <x:v>70.41916167664671</x:v>
      </x:c>
      <x:c r="O35" s="22" t="n">
        <x:f>$F35*Sakinler!$E$11</x:f>
        <x:v>154.5309381237525</x:v>
      </x:c>
      <x:c r="P35" s="22" t="n">
        <x:f>$F35*Sakinler!$E$12</x:f>
        <x:v>82.15568862275448</x:v>
      </x:c>
      <x:c r="Q35" s="22" t="n">
        <x:f>$F35*Sakinler!$E$13</x:f>
        <x:v>141.81636726546907</x:v>
      </x:c>
      <x:c r="R35" s="22" t="n">
        <x:f>SUM(H35:Q35)</x:f>
        <x:v>980</x:v>
      </x:c>
    </x:row>
    <x:row r="36">
      <x:c r="A36" s="20" t="n">
        <x:v>46155</x:v>
      </x:c>
      <x:c r="B36" s="20" t="n">
        <x:v>46143</x:v>
      </x:c>
      <x:c r="C36" t="str">
        <x:v>Asansör Bakımı</x:v>
      </x:c>
      <x:c r="D36" t="str">
        <x:v>Aylık asansör bakımı</x:v>
      </x:c>
      <x:c r="E36" t="str">
        <x:v>Banka</x:v>
      </x:c>
      <x:c r="F36" s="22" t="n">
        <x:v>2200</x:v>
      </x:c>
      <x:c r="G36" s="22" t="str">
        <x:v>B002-G0033</x:v>
      </x:c>
      <x:c r="H36" s="22" t="n">
        <x:f>$F36*Sakinler!$E$4</x:f>
        <x:v>171.2574850299401</x:v>
      </x:c>
      <x:c r="I36" s="22" t="n">
        <x:f>$F36*Sakinler!$E$5</x:f>
        <x:v>171.2574850299401</x:v>
      </x:c>
      <x:c r="J36" s="22" t="n">
        <x:f>$F36*Sakinler!$E$6</x:f>
        <x:v>230.5389221556886</x:v>
      </x:c>
      <x:c r="K36" s="22" t="n">
        <x:f>$F36*Sakinler!$E$7</x:f>
        <x:v>149.30139720558884</x:v>
      </x:c>
      <x:c r="L36" s="22" t="n">
        <x:f>$F36*Sakinler!$E$8</x:f>
        <x:v>210.77844311377245</x:v>
      </x:c>
      <x:c r="M36" s="22" t="n">
        <x:f>$F36*Sakinler!$E$9</x:f>
        <x:v>259.08183632734534</x:v>
      </x:c>
      <x:c r="N36" s="22" t="n">
        <x:f>$F36*Sakinler!$E$10</x:f>
        <x:v>158.08383233532933</x:v>
      </x:c>
      <x:c r="O36" s="22" t="n">
        <x:f>$F36*Sakinler!$E$11</x:f>
        <x:v>346.9061876247505</x:v>
      </x:c>
      <x:c r="P36" s="22" t="n">
        <x:f>$F36*Sakinler!$E$12</x:f>
        <x:v>184.4311377245509</x:v>
      </x:c>
      <x:c r="Q36" s="22" t="n">
        <x:f>$F36*Sakinler!$E$13</x:f>
        <x:v>318.3632734530938</x:v>
      </x:c>
      <x:c r="R36" s="22" t="n">
        <x:f>SUM(H36:Q36)</x:f>
        <x:v>2200</x:v>
      </x:c>
    </x:row>
    <x:row r="37">
      <x:c r="A37" s="20" t="n">
        <x:v>46159</x:v>
      </x:c>
      <x:c r="B37" s="20" t="n">
        <x:v>46143</x:v>
      </x:c>
      <x:c r="C37" t="str">
        <x:v>Jeneratör Bakımı</x:v>
      </x:c>
      <x:c r="D37" t="str">
        <x:v>Jeneratör yağ ve filtre bakımı</x:v>
      </x:c>
      <x:c r="E37" t="str">
        <x:v>Banka</x:v>
      </x:c>
      <x:c r="F37" s="22" t="n">
        <x:v>3600</x:v>
      </x:c>
      <x:c r="G37" s="22" t="str">
        <x:v>B002-G0034</x:v>
      </x:c>
      <x:c r="H37" s="22" t="n">
        <x:f>$F37*Sakinler!$E$4</x:f>
        <x:v>280.23952095808386</x:v>
      </x:c>
      <x:c r="I37" s="22" t="n">
        <x:f>$F37*Sakinler!$E$5</x:f>
        <x:v>280.23952095808386</x:v>
      </x:c>
      <x:c r="J37" s="22" t="n">
        <x:f>$F37*Sakinler!$E$6</x:f>
        <x:v>377.2455089820359</x:v>
      </x:c>
      <x:c r="K37" s="22" t="n">
        <x:f>$F37*Sakinler!$E$7</x:f>
        <x:v>244.311377245509</x:v>
      </x:c>
      <x:c r="L37" s="22" t="n">
        <x:f>$F37*Sakinler!$E$8</x:f>
        <x:v>344.9101796407186</x:v>
      </x:c>
      <x:c r="M37" s="22" t="n">
        <x:f>$F37*Sakinler!$E$9</x:f>
        <x:v>423.95209580838326</x:v>
      </x:c>
      <x:c r="N37" s="22" t="n">
        <x:f>$F37*Sakinler!$E$10</x:f>
        <x:v>258.6826347305389</x:v>
      </x:c>
      <x:c r="O37" s="22" t="n">
        <x:f>$F37*Sakinler!$E$11</x:f>
        <x:v>567.6646706586827</x:v>
      </x:c>
      <x:c r="P37" s="22" t="n">
        <x:f>$F37*Sakinler!$E$12</x:f>
        <x:v>301.7964071856287</x:v>
      </x:c>
      <x:c r="Q37" s="22" t="n">
        <x:f>$F37*Sakinler!$E$13</x:f>
        <x:v>520.9580838323353</x:v>
      </x:c>
      <x:c r="R37" s="22" t="n">
        <x:f>SUM(H37:Q37)</x:f>
        <x:v>3600</x:v>
      </x:c>
    </x:row>
    <x:row r="38">
      <x:c r="A38" s="20" t="n">
        <x:v>46163</x:v>
      </x:c>
      <x:c r="B38" s="20" t="n">
        <x:v>46143</x:v>
      </x:c>
      <x:c r="C38" t="str">
        <x:v>Temizlik</x:v>
      </x:c>
      <x:c r="D38" t="str">
        <x:v>Ortak alan temizliği</x:v>
      </x:c>
      <x:c r="E38" t="str">
        <x:v>Nakit</x:v>
      </x:c>
      <x:c r="F38" s="22" t="n">
        <x:v>3000</x:v>
      </x:c>
      <x:c r="G38" s="22" t="str">
        <x:v>B002-G0035</x:v>
      </x:c>
      <x:c r="H38" s="22" t="n">
        <x:f>$F38*Sakinler!$E$4</x:f>
        <x:v>233.53293413173654</x:v>
      </x:c>
      <x:c r="I38" s="22" t="n">
        <x:f>$F38*Sakinler!$E$5</x:f>
        <x:v>233.53293413173654</x:v>
      </x:c>
      <x:c r="J38" s="22" t="n">
        <x:f>$F38*Sakinler!$E$6</x:f>
        <x:v>314.3712574850299</x:v>
      </x:c>
      <x:c r="K38" s="22" t="n">
        <x:f>$F38*Sakinler!$E$7</x:f>
        <x:v>203.5928143712575</x:v>
      </x:c>
      <x:c r="L38" s="22" t="n">
        <x:f>$F38*Sakinler!$E$8</x:f>
        <x:v>287.4251497005988</x:v>
      </x:c>
      <x:c r="M38" s="22" t="n">
        <x:f>$F38*Sakinler!$E$9</x:f>
        <x:v>353.2934131736527</x:v>
      </x:c>
      <x:c r="N38" s="22" t="n">
        <x:f>$F38*Sakinler!$E$10</x:f>
        <x:v>215.5688622754491</x:v>
      </x:c>
      <x:c r="O38" s="22" t="n">
        <x:f>$F38*Sakinler!$E$11</x:f>
        <x:v>473.05389221556885</x:v>
      </x:c>
      <x:c r="P38" s="22" t="n">
        <x:f>$F38*Sakinler!$E$12</x:f>
        <x:v>251.49700598802394</x:v>
      </x:c>
      <x:c r="Q38" s="22" t="n">
        <x:f>$F38*Sakinler!$E$13</x:f>
        <x:v>434.1317365269461</x:v>
      </x:c>
      <x:c r="R38" s="22" t="n">
        <x:f>SUM(H38:Q38)</x:f>
        <x:v>3000</x:v>
      </x:c>
    </x:row>
    <x:row r="39">
      <x:c r="A39" s="20" t="n">
        <x:v>46167</x:v>
      </x:c>
      <x:c r="B39" s="20" t="n">
        <x:v>46143</x:v>
      </x:c>
      <x:c r="C39" t="str">
        <x:v>Yönetim Hizmeti</x:v>
      </x:c>
      <x:c r="D39" t="str">
        <x:v>Yönetim hizmet bedeli</x:v>
      </x:c>
      <x:c r="E39" t="str">
        <x:v>Banka</x:v>
      </x:c>
      <x:c r="F39" s="22" t="n">
        <x:v>2500</x:v>
      </x:c>
      <x:c r="G39" s="22" t="str">
        <x:v>B002-G0036</x:v>
      </x:c>
      <x:c r="H39" s="22" t="n">
        <x:f>$F39*Sakinler!$E$4</x:f>
        <x:v>194.6107784431138</x:v>
      </x:c>
      <x:c r="I39" s="22" t="n">
        <x:f>$F39*Sakinler!$E$5</x:f>
        <x:v>194.6107784431138</x:v>
      </x:c>
      <x:c r="J39" s="22" t="n">
        <x:f>$F39*Sakinler!$E$6</x:f>
        <x:v>261.9760479041916</x:v>
      </x:c>
      <x:c r="K39" s="22" t="n">
        <x:f>$F39*Sakinler!$E$7</x:f>
        <x:v>169.66067864271457</x:v>
      </x:c>
      <x:c r="L39" s="22" t="n">
        <x:f>$F39*Sakinler!$E$8</x:f>
        <x:v>239.52095808383234</x:v>
      </x:c>
      <x:c r="M39" s="22" t="n">
        <x:f>$F39*Sakinler!$E$9</x:f>
        <x:v>294.41117764471056</x:v>
      </x:c>
      <x:c r="N39" s="22" t="n">
        <x:f>$F39*Sakinler!$E$10</x:f>
        <x:v>179.64071856287424</x:v>
      </x:c>
      <x:c r="O39" s="22" t="n">
        <x:f>$F39*Sakinler!$E$11</x:f>
        <x:v>394.21157684630737</x:v>
      </x:c>
      <x:c r="P39" s="22" t="n">
        <x:f>$F39*Sakinler!$E$12</x:f>
        <x:v>209.58083832335328</x:v>
      </x:c>
      <x:c r="Q39" s="22" t="n">
        <x:f>$F39*Sakinler!$E$13</x:f>
        <x:v>361.7764471057884</x:v>
      </x:c>
      <x:c r="R39" s="22" t="n">
        <x:f>SUM(H39:Q39)</x:f>
        <x:v>2500</x:v>
      </x:c>
    </x:row>
    <x:row r="40">
      <x:c r="A40" s="20" t="n">
        <x:v>46178</x:v>
      </x:c>
      <x:c r="B40" s="20" t="n">
        <x:v>46174</x:v>
      </x:c>
      <x:c r="C40" t="str">
        <x:v>Ortak Alan Elektrik</x:v>
      </x:c>
      <x:c r="D40" t="str">
        <x:v>Haziran ortak alan elektrik</x:v>
      </x:c>
      <x:c r="E40" t="str">
        <x:v>Banka</x:v>
      </x:c>
      <x:c r="F40" s="22" t="n">
        <x:v>1940</x:v>
      </x:c>
      <x:c r="G40" s="22" t="str">
        <x:v>B002-G0037</x:v>
      </x:c>
      <x:c r="H40" s="22" t="n">
        <x:f>$F40*Sakinler!$E$4</x:f>
        <x:v>151.01796407185628</x:v>
      </x:c>
      <x:c r="I40" s="22" t="n">
        <x:f>$F40*Sakinler!$E$5</x:f>
        <x:v>151.01796407185628</x:v>
      </x:c>
      <x:c r="J40" s="22" t="n">
        <x:f>$F40*Sakinler!$E$6</x:f>
        <x:v>203.29341317365268</x:v>
      </x:c>
      <x:c r="K40" s="22" t="n">
        <x:f>$F40*Sakinler!$E$7</x:f>
        <x:v>131.6566866267465</x:v>
      </x:c>
      <x:c r="L40" s="22" t="n">
        <x:f>$F40*Sakinler!$E$8</x:f>
        <x:v>185.8682634730539</x:v>
      </x:c>
      <x:c r="M40" s="22" t="n">
        <x:f>$F40*Sakinler!$E$9</x:f>
        <x:v>228.46307385229542</x:v>
      </x:c>
      <x:c r="N40" s="22" t="n">
        <x:f>$F40*Sakinler!$E$10</x:f>
        <x:v>139.4011976047904</x:v>
      </x:c>
      <x:c r="O40" s="22" t="n">
        <x:f>$F40*Sakinler!$E$11</x:f>
        <x:v>305.90818363273456</x:v>
      </x:c>
      <x:c r="P40" s="22" t="n">
        <x:f>$F40*Sakinler!$E$12</x:f>
        <x:v>162.63473053892216</x:v>
      </x:c>
      <x:c r="Q40" s="22" t="n">
        <x:f>$F40*Sakinler!$E$13</x:f>
        <x:v>280.7385229540918</x:v>
      </x:c>
      <x:c r="R40" s="22" t="n">
        <x:f>SUM(H40:Q40)</x:f>
        <x:v>1940</x:v>
      </x:c>
    </x:row>
    <x:row r="41">
      <x:c r="A41" s="20" t="n">
        <x:v>46182</x:v>
      </x:c>
      <x:c r="B41" s="20" t="n">
        <x:v>46174</x:v>
      </x:c>
      <x:c r="C41" t="str">
        <x:v>Ortak Alan Su</x:v>
      </x:c>
      <x:c r="D41" t="str">
        <x:v>Haziran ortak alan su</x:v>
      </x:c>
      <x:c r="E41" t="str">
        <x:v>Banka</x:v>
      </x:c>
      <x:c r="F41" s="22" t="n">
        <x:v>1020</x:v>
      </x:c>
      <x:c r="G41" s="22" t="str">
        <x:v>B002-G0038</x:v>
      </x:c>
      <x:c r="H41" s="22" t="n">
        <x:f>$F41*Sakinler!$E$4</x:f>
        <x:v>79.40119760479043</x:v>
      </x:c>
      <x:c r="I41" s="22" t="n">
        <x:f>$F41*Sakinler!$E$5</x:f>
        <x:v>79.40119760479043</x:v>
      </x:c>
      <x:c r="J41" s="22" t="n">
        <x:f>$F41*Sakinler!$E$6</x:f>
        <x:v>106.88622754491017</x:v>
      </x:c>
      <x:c r="K41" s="22" t="n">
        <x:f>$F41*Sakinler!$E$7</x:f>
        <x:v>69.22155688622755</x:v>
      </x:c>
      <x:c r="L41" s="22" t="n">
        <x:f>$F41*Sakinler!$E$8</x:f>
        <x:v>97.7245508982036</x:v>
      </x:c>
      <x:c r="M41" s="22" t="n">
        <x:f>$F41*Sakinler!$E$9</x:f>
        <x:v>120.11976047904191</x:v>
      </x:c>
      <x:c r="N41" s="22" t="n">
        <x:f>$F41*Sakinler!$E$10</x:f>
        <x:v>73.2934131736527</x:v>
      </x:c>
      <x:c r="O41" s="22" t="n">
        <x:f>$F41*Sakinler!$E$11</x:f>
        <x:v>160.83832335329342</x:v>
      </x:c>
      <x:c r="P41" s="22" t="n">
        <x:f>$F41*Sakinler!$E$12</x:f>
        <x:v>85.50898203592814</x:v>
      </x:c>
      <x:c r="Q41" s="22" t="n">
        <x:f>$F41*Sakinler!$E$13</x:f>
        <x:v>147.60479041916167</x:v>
      </x:c>
      <x:c r="R41" s="22" t="n">
        <x:f>SUM(H41:Q41)</x:f>
        <x:v>1019.9999999999999</x:v>
      </x:c>
    </x:row>
    <x:row r="42">
      <x:c r="A42" s="20" t="n">
        <x:v>46186</x:v>
      </x:c>
      <x:c r="B42" s="20" t="n">
        <x:v>46174</x:v>
      </x:c>
      <x:c r="C42" t="str">
        <x:v>Asansör Bakımı</x:v>
      </x:c>
      <x:c r="D42" t="str">
        <x:v>Aylık asansör bakımı</x:v>
      </x:c>
      <x:c r="E42" t="str">
        <x:v>Banka</x:v>
      </x:c>
      <x:c r="F42" s="22" t="n">
        <x:v>2200</x:v>
      </x:c>
      <x:c r="G42" s="22" t="str">
        <x:v>B002-G0039</x:v>
      </x:c>
      <x:c r="H42" s="22" t="n">
        <x:f>$F42*Sakinler!$E$4</x:f>
        <x:v>171.2574850299401</x:v>
      </x:c>
      <x:c r="I42" s="22" t="n">
        <x:f>$F42*Sakinler!$E$5</x:f>
        <x:v>171.2574850299401</x:v>
      </x:c>
      <x:c r="J42" s="22" t="n">
        <x:f>$F42*Sakinler!$E$6</x:f>
        <x:v>230.5389221556886</x:v>
      </x:c>
      <x:c r="K42" s="22" t="n">
        <x:f>$F42*Sakinler!$E$7</x:f>
        <x:v>149.30139720558884</x:v>
      </x:c>
      <x:c r="L42" s="22" t="n">
        <x:f>$F42*Sakinler!$E$8</x:f>
        <x:v>210.77844311377245</x:v>
      </x:c>
      <x:c r="M42" s="22" t="n">
        <x:f>$F42*Sakinler!$E$9</x:f>
        <x:v>259.08183632734534</x:v>
      </x:c>
      <x:c r="N42" s="22" t="n">
        <x:f>$F42*Sakinler!$E$10</x:f>
        <x:v>158.08383233532933</x:v>
      </x:c>
      <x:c r="O42" s="22" t="n">
        <x:f>$F42*Sakinler!$E$11</x:f>
        <x:v>346.9061876247505</x:v>
      </x:c>
      <x:c r="P42" s="22" t="n">
        <x:f>$F42*Sakinler!$E$12</x:f>
        <x:v>184.4311377245509</x:v>
      </x:c>
      <x:c r="Q42" s="22" t="n">
        <x:f>$F42*Sakinler!$E$13</x:f>
        <x:v>318.3632734530938</x:v>
      </x:c>
      <x:c r="R42" s="22" t="n">
        <x:f>SUM(H42:Q42)</x:f>
        <x:v>2200</x:v>
      </x:c>
    </x:row>
    <x:row r="43">
      <x:c r="A43" s="20" t="n">
        <x:v>46190</x:v>
      </x:c>
      <x:c r="B43" s="20" t="n">
        <x:v>46174</x:v>
      </x:c>
      <x:c r="C43" t="str">
        <x:v>Çatı Bakımı</x:v>
      </x:c>
      <x:c r="D43" t="str">
        <x:v>Çatı bakım ve lokal yalıtım</x:v>
      </x:c>
      <x:c r="E43" t="str">
        <x:v>Nakit</x:v>
      </x:c>
      <x:c r="F43" s="22" t="n">
        <x:v>17500</x:v>
      </x:c>
      <x:c r="G43" s="22" t="str">
        <x:v>B002-G0040</x:v>
      </x:c>
      <x:c r="H43" s="22" t="n">
        <x:f>$F43*Sakinler!$E$4</x:f>
        <x:v>1362.2754491017965</x:v>
      </x:c>
      <x:c r="I43" s="22" t="n">
        <x:f>$F43*Sakinler!$E$5</x:f>
        <x:v>1362.2754491017965</x:v>
      </x:c>
      <x:c r="J43" s="22" t="n">
        <x:f>$F43*Sakinler!$E$6</x:f>
        <x:v>1833.8323353293413</x:v>
      </x:c>
      <x:c r="K43" s="22" t="n">
        <x:f>$F43*Sakinler!$E$7</x:f>
        <x:v>1187.624750499002</x:v>
      </x:c>
      <x:c r="L43" s="22" t="n">
        <x:f>$F43*Sakinler!$E$8</x:f>
        <x:v>1676.6467065868264</x:v>
      </x:c>
      <x:c r="M43" s="22" t="n">
        <x:f>$F43*Sakinler!$E$9</x:f>
        <x:v>2060.878243512974</x:v>
      </x:c>
      <x:c r="N43" s="22" t="n">
        <x:f>$F43*Sakinler!$E$10</x:f>
        <x:v>1257.4850299401196</x:v>
      </x:c>
      <x:c r="O43" s="22" t="n">
        <x:f>$F43*Sakinler!$E$11</x:f>
        <x:v>2759.4810379241517</x:v>
      </x:c>
      <x:c r="P43" s="22" t="n">
        <x:f>$F43*Sakinler!$E$12</x:f>
        <x:v>1467.065868263473</x:v>
      </x:c>
      <x:c r="Q43" s="22" t="n">
        <x:f>$F43*Sakinler!$E$13</x:f>
        <x:v>2532.4351297405187</x:v>
      </x:c>
      <x:c r="R43" s="22" t="n">
        <x:f>SUM(H43:Q43)</x:f>
        <x:v>17500</x:v>
      </x:c>
    </x:row>
    <x:row r="44">
      <x:c r="A44" s="20" t="n">
        <x:v>46194</x:v>
      </x:c>
      <x:c r="B44" s="20" t="n">
        <x:v>46174</x:v>
      </x:c>
      <x:c r="C44" t="str">
        <x:v>Temizlik</x:v>
      </x:c>
      <x:c r="D44" t="str">
        <x:v>Ortak alan temizliği</x:v>
      </x:c>
      <x:c r="E44" t="str">
        <x:v>Nakit</x:v>
      </x:c>
      <x:c r="F44" s="22" t="n">
        <x:v>3200</x:v>
      </x:c>
      <x:c r="G44" s="22" t="str">
        <x:v>B002-G0041</x:v>
      </x:c>
      <x:c r="H44" s="22" t="n">
        <x:f>$F44*Sakinler!$E$4</x:f>
        <x:v>249.10179640718565</x:v>
      </x:c>
      <x:c r="I44" s="22" t="n">
        <x:f>$F44*Sakinler!$E$5</x:f>
        <x:v>249.10179640718565</x:v>
      </x:c>
      <x:c r="J44" s="22" t="n">
        <x:f>$F44*Sakinler!$E$6</x:f>
        <x:v>335.3293413173652</x:v>
      </x:c>
      <x:c r="K44" s="22" t="n">
        <x:f>$F44*Sakinler!$E$7</x:f>
        <x:v>217.16566866267465</x:v>
      </x:c>
      <x:c r="L44" s="22" t="n">
        <x:f>$F44*Sakinler!$E$8</x:f>
        <x:v>306.5868263473054</x:v>
      </x:c>
      <x:c r="M44" s="22" t="n">
        <x:f>$F44*Sakinler!$E$9</x:f>
        <x:v>376.8463073852296</x:v>
      </x:c>
      <x:c r="N44" s="22" t="n">
        <x:f>$F44*Sakinler!$E$10</x:f>
        <x:v>229.94011976047904</x:v>
      </x:c>
      <x:c r="O44" s="22" t="n">
        <x:f>$F44*Sakinler!$E$11</x:f>
        <x:v>504.59081836327346</x:v>
      </x:c>
      <x:c r="P44" s="22" t="n">
        <x:f>$F44*Sakinler!$E$12</x:f>
        <x:v>268.2634730538922</x:v>
      </x:c>
      <x:c r="Q44" s="22" t="n">
        <x:f>$F44*Sakinler!$E$13</x:f>
        <x:v>463.07385229540915</x:v>
      </x:c>
      <x:c r="R44" s="22" t="n">
        <x:f>SUM(H44:Q44)</x:f>
        <x:v>3200</x:v>
      </x:c>
    </x:row>
    <x:row r="45">
      <x:c r="A45" s="20" t="n">
        <x:v>46198</x:v>
      </x:c>
      <x:c r="B45" s="20" t="n">
        <x:v>46174</x:v>
      </x:c>
      <x:c r="C45" t="str">
        <x:v>Yönetim Hizmeti</x:v>
      </x:c>
      <x:c r="D45" t="str">
        <x:v>Yönetim hizmet bedeli</x:v>
      </x:c>
      <x:c r="E45" t="str">
        <x:v>Banka</x:v>
      </x:c>
      <x:c r="F45" s="22" t="n">
        <x:v>2500</x:v>
      </x:c>
      <x:c r="G45" s="22" t="str">
        <x:v>B002-G0042</x:v>
      </x:c>
      <x:c r="H45" s="22" t="n">
        <x:f>$F45*Sakinler!$E$4</x:f>
        <x:v>194.6107784431138</x:v>
      </x:c>
      <x:c r="I45" s="22" t="n">
        <x:f>$F45*Sakinler!$E$5</x:f>
        <x:v>194.6107784431138</x:v>
      </x:c>
      <x:c r="J45" s="22" t="n">
        <x:f>$F45*Sakinler!$E$6</x:f>
        <x:v>261.9760479041916</x:v>
      </x:c>
      <x:c r="K45" s="22" t="n">
        <x:f>$F45*Sakinler!$E$7</x:f>
        <x:v>169.66067864271457</x:v>
      </x:c>
      <x:c r="L45" s="22" t="n">
        <x:f>$F45*Sakinler!$E$8</x:f>
        <x:v>239.52095808383234</x:v>
      </x:c>
      <x:c r="M45" s="22" t="n">
        <x:f>$F45*Sakinler!$E$9</x:f>
        <x:v>294.41117764471056</x:v>
      </x:c>
      <x:c r="N45" s="22" t="n">
        <x:f>$F45*Sakinler!$E$10</x:f>
        <x:v>179.64071856287424</x:v>
      </x:c>
      <x:c r="O45" s="22" t="n">
        <x:f>$F45*Sakinler!$E$11</x:f>
        <x:v>394.21157684630737</x:v>
      </x:c>
      <x:c r="P45" s="22" t="n">
        <x:f>$F45*Sakinler!$E$12</x:f>
        <x:v>209.58083832335328</x:v>
      </x:c>
      <x:c r="Q45" s="22" t="n">
        <x:f>$F45*Sakinler!$E$13</x:f>
        <x:v>361.7764471057884</x:v>
      </x:c>
      <x:c r="R45" s="22" t="n">
        <x:f>SUM(H45:Q45)</x:f>
        <x:v>2500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3" t="str">
        <x:v>Mavişehir Apartmanı — Değişken Aidat Ekstresi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>
      <x:c r="A3" s="10" t="str">
        <x:v>Aidat Ayı</x:v>
      </x:c>
      <x:c r="B3" s="10" t="str">
        <x:v>Baz Gider Ayı</x:v>
      </x:c>
      <x:c r="C3" s="10" t="str">
        <x:v>Resident Kodu</x:v>
      </x:c>
      <x:c r="D3" s="10" t="str">
        <x:v>Daire</x:v>
      </x:c>
      <x:c r="E3" s="10" t="str">
        <x:v>Ad Soyad</x:v>
      </x:c>
      <x:c r="F3" s="10" t="str">
        <x:v>Ortak Alan Elektrik</x:v>
      </x:c>
      <x:c r="G3" s="10" t="str">
        <x:v>Ortak Alan Su</x:v>
      </x:c>
      <x:c r="H3" s="10" t="str">
        <x:v>Asansör Bakımı</x:v>
      </x:c>
      <x:c r="I3" s="10" t="str">
        <x:v>Jeneratör Bakımı</x:v>
      </x:c>
      <x:c r="J3" s="10" t="str">
        <x:v>Hidrofor Bakımı</x:v>
      </x:c>
      <x:c r="K3" s="10" t="str">
        <x:v>Yangın Sistemleri</x:v>
      </x:c>
      <x:c r="L3" s="10" t="str">
        <x:v>Temizlik</x:v>
      </x:c>
      <x:c r="M3" s="10" t="str">
        <x:v>Bahçe Bakımı</x:v>
      </x:c>
      <x:c r="N3" s="10" t="str">
        <x:v>Onarım</x:v>
      </x:c>
      <x:c r="O3" s="10" t="str">
        <x:v>Çatı Bakımı</x:v>
      </x:c>
      <x:c r="P3" s="10" t="str">
        <x:v>Yönetim Hizmeti</x:v>
      </x:c>
      <x:c r="Q3" s="10" t="str">
        <x:v>Toplam Aidat</x:v>
      </x:c>
      <x:c r="R3" s="10" t="str">
        <x:v>Ödenen</x:v>
      </x:c>
      <x:c r="S3" s="10" t="str">
        <x:v>Ödeme Tarihi</x:v>
      </x:c>
      <x:c r="T3" s="10" t="str">
        <x:v>Kalan Borç</x:v>
      </x:c>
      <x:c r="U3" s="10" t="str">
        <x:v>Durum</x:v>
      </x:c>
    </x:row>
    <x:row r="4">
      <x:c r="A4" s="24" t="n">
        <x:v>46023</x:v>
      </x:c>
      <x:c r="B4" s="24" t="n">
        <x:v>45992</x:v>
      </x:c>
      <x:c r="C4" t="str">
        <x:v>B002-R001</x:v>
      </x:c>
      <x:c r="D4" t="n">
        <x:v>1</x:v>
      </x:c>
      <x:c r="E4" t="str">
        <x:v>Pelin Yıldız</x:v>
      </x:c>
      <x:c r="F4" s="22" t="n">
        <x:v>120.65868263473054</x:v>
      </x:c>
      <x:c r="G4" s="22" t="n">
        <x:v>63.83233532934132</x:v>
      </x:c>
      <x:c r="H4" s="22" t="n">
        <x:v>163.47305389221557</x:v>
      </x:c>
      <x:c r="I4" s="22" t="n">
        <x:v>140.11976047904193</x:v>
      </x:c>
      <x:c r="J4" s="22" t="n">
        <x:v>0</x:v>
      </x:c>
      <x:c r="K4" s="22" t="n">
        <x:v>0</x:v>
      </x:c>
      <x:c r="L4" s="22" t="n">
        <x:v>217.96407185628743</x:v>
      </x:c>
      <x:c r="M4" s="22" t="n">
        <x:v>0</x:v>
      </x:c>
      <x:c r="N4" s="22" t="n">
        <x:v>0</x:v>
      </x:c>
      <x:c r="O4" s="22" t="n">
        <x:v>0</x:v>
      </x:c>
      <x:c r="P4" s="22" t="n">
        <x:v>194.6107784431138</x:v>
      </x:c>
      <x:c r="Q4" s="22" t="n">
        <x:v>900.6586826347306</x:v>
      </x:c>
      <x:c r="R4" s="22" t="n">
        <x:v>900.66</x:v>
      </x:c>
      <x:c r="S4" s="20" t="n">
        <x:v>46027</x:v>
      </x:c>
      <x:c r="T4" s="22" t="n">
        <x:v>0</x:v>
      </x:c>
      <x:c r="U4" t="str">
        <x:v>Ödendi</x:v>
      </x:c>
    </x:row>
    <x:row r="5">
      <x:c r="A5" s="24" t="n">
        <x:v>46054</x:v>
      </x:c>
      <x:c r="B5" s="24" t="n">
        <x:v>46023</x:v>
      </x:c>
      <x:c r="C5" t="str">
        <x:v>B002-R001</x:v>
      </x:c>
      <x:c r="D5" t="n">
        <x:v>1</x:v>
      </x:c>
      <x:c r="E5" t="str">
        <x:v>Pelin Yıldız</x:v>
      </x:c>
      <x:c r="F5" s="22" t="n">
        <x:v>128.4431137724551</x:v>
      </x:c>
      <x:c r="G5" s="22" t="n">
        <x:v>66.16766467065868</x:v>
      </x:c>
      <x:c r="H5" s="22" t="n">
        <x:v>163.47305389221557</x:v>
      </x:c>
      <x:c r="I5" s="22" t="n">
        <x:v>0</x:v>
      </x:c>
      <x:c r="J5" s="22" t="n">
        <x:v>249.10179640718565</x:v>
      </x:c>
      <x:c r="K5" s="22" t="n">
        <x:v>0</x:v>
      </x:c>
      <x:c r="L5" s="22" t="n">
        <x:v>217.96407185628743</x:v>
      </x:c>
      <x:c r="M5" s="22" t="n">
        <x:v>0</x:v>
      </x:c>
      <x:c r="N5" s="22" t="n">
        <x:v>0</x:v>
      </x:c>
      <x:c r="O5" s="22" t="n">
        <x:v>0</x:v>
      </x:c>
      <x:c r="P5" s="22" t="n">
        <x:v>194.6107784431138</x:v>
      </x:c>
      <x:c r="Q5" s="22" t="n">
        <x:v>1019.7604790419163</x:v>
      </x:c>
      <x:c r="R5" s="22" t="n">
        <x:v>1019.76</x:v>
      </x:c>
      <x:c r="S5" s="20" t="n">
        <x:v>46058</x:v>
      </x:c>
      <x:c r="T5" s="22" t="n">
        <x:v>0</x:v>
      </x:c>
      <x:c r="U5" t="str">
        <x:v>Ödendi</x:v>
      </x:c>
    </x:row>
    <x:row r="6">
      <x:c r="A6" s="24" t="n">
        <x:v>46082</x:v>
      </x:c>
      <x:c r="B6" s="24" t="n">
        <x:v>46054</x:v>
      </x:c>
      <x:c r="C6" t="str">
        <x:v>B002-R001</x:v>
      </x:c>
      <x:c r="D6" t="n">
        <x:v>1</x:v>
      </x:c>
      <x:c r="E6" t="str">
        <x:v>Pelin Yıldız</x:v>
      </x:c>
      <x:c r="F6" s="22" t="n">
        <x:v>133.89221556886227</x:v>
      </x:c>
      <x:c r="G6" s="22" t="n">
        <x:v>71.61676646706587</x:v>
      </x:c>
      <x:c r="H6" s="22" t="n">
        <x:v>163.47305389221557</x:v>
      </x:c>
      <x:c r="I6" s="22" t="n">
        <x:v>186.82634730538922</x:v>
      </x:c>
      <x:c r="J6" s="22" t="n">
        <x:v>0</x:v>
      </x:c>
      <x:c r="K6" s="22" t="n">
        <x:v>326.94610778443115</x:v>
      </x:c>
      <x:c r="L6" s="22" t="n">
        <x:v>0</x:v>
      </x:c>
      <x:c r="M6" s="22" t="n">
        <x:v>0</x:v>
      </x:c>
      <x:c r="N6" s="22" t="n">
        <x:v>0</x:v>
      </x:c>
      <x:c r="O6" s="22" t="n">
        <x:v>0</x:v>
      </x:c>
      <x:c r="P6" s="22" t="n">
        <x:v>194.6107784431138</x:v>
      </x:c>
      <x:c r="Q6" s="22" t="n">
        <x:v>1077.3652694610778</x:v>
      </x:c>
      <x:c r="R6" s="22" t="n">
        <x:v>0</x:v>
      </x:c>
      <x:c r="S6" s="20"/>
      <x:c r="T6" s="22" t="n">
        <x:v>1077.37</x:v>
      </x:c>
      <x:c r="U6" t="str">
        <x:v>Ödenmedi</x:v>
      </x:c>
    </x:row>
    <x:row r="7">
      <x:c r="A7" s="24" t="n">
        <x:v>46113</x:v>
      </x:c>
      <x:c r="B7" s="24" t="n">
        <x:v>46082</x:v>
      </x:c>
      <x:c r="C7" t="str">
        <x:v>B002-R001</x:v>
      </x:c>
      <x:c r="D7" t="n">
        <x:v>1</x:v>
      </x:c>
      <x:c r="E7" t="str">
        <x:v>Pelin Yıldız</x:v>
      </x:c>
      <x:c r="F7" s="22" t="n">
        <x:v>122.99401197604791</x:v>
      </x:c>
      <x:c r="G7" s="22" t="n">
        <x:v>69.28143712574851</x:v>
      </x:c>
      <x:c r="H7" s="22" t="n">
        <x:v>163.47305389221557</x:v>
      </x:c>
      <x:c r="I7" s="22" t="n">
        <x:v>0</x:v>
      </x:c>
      <x:c r="J7" s="22" t="n">
        <x:v>0</x:v>
      </x:c>
      <x:c r="K7" s="22" t="n">
        <x:v>0</x:v>
      </x:c>
      <x:c r="L7" s="22" t="n">
        <x:v>233.53293413173654</x:v>
      </x:c>
      <x:c r="M7" s="22" t="n">
        <x:v>0</x:v>
      </x:c>
      <x:c r="N7" s="22" t="n">
        <x:v>295.80838323353294</x:v>
      </x:c>
      <x:c r="O7" s="22" t="n">
        <x:v>0</x:v>
      </x:c>
      <x:c r="P7" s="22" t="n">
        <x:v>194.6107784431138</x:v>
      </x:c>
      <x:c r="Q7" s="22" t="n">
        <x:v>1079.7005988023952</x:v>
      </x:c>
      <x:c r="R7" s="22" t="n">
        <x:v>1079.7</x:v>
      </x:c>
      <x:c r="S7" s="20" t="n">
        <x:v>46123</x:v>
      </x:c>
      <x:c r="T7" s="22" t="n">
        <x:v>0</x:v>
      </x:c>
      <x:c r="U7" t="str">
        <x:v>Ödendi</x:v>
      </x:c>
    </x:row>
    <x:row r="8">
      <x:c r="A8" s="24" t="n">
        <x:v>46143</x:v>
      </x:c>
      <x:c r="B8" s="24" t="n">
        <x:v>46113</x:v>
      </x:c>
      <x:c r="C8" t="str">
        <x:v>B002-R001</x:v>
      </x:c>
      <x:c r="D8" t="n">
        <x:v>1</x:v>
      </x:c>
      <x:c r="E8" t="str">
        <x:v>Pelin Yıldız</x:v>
      </x:c>
      <x:c r="F8" s="22" t="n">
        <x:v>131.5568862275449</x:v>
      </x:c>
      <x:c r="G8" s="22" t="n">
        <x:v>70.83832335329342</x:v>
      </x:c>
      <x:c r="H8" s="22" t="n">
        <x:v>171.2574850299401</x:v>
      </x:c>
      <x:c r="I8" s="22" t="n">
        <x:v>0</x:v>
      </x:c>
      <x:c r="J8" s="22" t="n">
        <x:v>482.63473053892216</x:v>
      </x:c>
      <x:c r="K8" s="22" t="n">
        <x:v>0</x:v>
      </x:c>
      <x:c r="L8" s="22" t="n">
        <x:v>0</x:v>
      </x:c>
      <x:c r="M8" s="22" t="n">
        <x:v>202.39520958083833</x:v>
      </x:c>
      <x:c r="N8" s="22" t="n">
        <x:v>0</x:v>
      </x:c>
      <x:c r="O8" s="22" t="n">
        <x:v>0</x:v>
      </x:c>
      <x:c r="P8" s="22" t="n">
        <x:v>194.6107784431138</x:v>
      </x:c>
      <x:c r="Q8" s="22" t="n">
        <x:v>1253.2934131736527</x:v>
      </x:c>
      <x:c r="R8" s="22" t="n">
        <x:v>1253.29</x:v>
      </x:c>
      <x:c r="S8" s="20" t="n">
        <x:v>46152</x:v>
      </x:c>
      <x:c r="T8" s="22" t="n">
        <x:v>0</x:v>
      </x:c>
      <x:c r="U8" t="str">
        <x:v>Ödendi</x:v>
      </x:c>
    </x:row>
    <x:row r="9">
      <x:c r="A9" s="24" t="n">
        <x:v>46174</x:v>
      </x:c>
      <x:c r="B9" s="24" t="n">
        <x:v>46143</x:v>
      </x:c>
      <x:c r="C9" t="str">
        <x:v>B002-R001</x:v>
      </x:c>
      <x:c r="D9" t="n">
        <x:v>1</x:v>
      </x:c>
      <x:c r="E9" t="str">
        <x:v>Pelin Yıldız</x:v>
      </x:c>
      <x:c r="F9" s="22" t="n">
        <x:v>140.89820359281438</x:v>
      </x:c>
      <x:c r="G9" s="22" t="n">
        <x:v>76.2874251497006</x:v>
      </x:c>
      <x:c r="H9" s="22" t="n">
        <x:v>171.2574850299401</x:v>
      </x:c>
      <x:c r="I9" s="22" t="n">
        <x:v>280.23952095808386</x:v>
      </x:c>
      <x:c r="J9" s="22" t="n">
        <x:v>0</x:v>
      </x:c>
      <x:c r="K9" s="22" t="n">
        <x:v>0</x:v>
      </x:c>
      <x:c r="L9" s="22" t="n">
        <x:v>233.53293413173654</x:v>
      </x:c>
      <x:c r="M9" s="22" t="n">
        <x:v>0</x:v>
      </x:c>
      <x:c r="N9" s="22" t="n">
        <x:v>0</x:v>
      </x:c>
      <x:c r="O9" s="22" t="n">
        <x:v>0</x:v>
      </x:c>
      <x:c r="P9" s="22" t="n">
        <x:v>194.6107784431138</x:v>
      </x:c>
      <x:c r="Q9" s="22" t="n">
        <x:v>1096.8263473053894</x:v>
      </x:c>
      <x:c r="R9" s="22" t="n">
        <x:v>1096.83</x:v>
      </x:c>
      <x:c r="S9" s="20" t="n">
        <x:v>46183</x:v>
      </x:c>
      <x:c r="T9" s="22" t="n">
        <x:v>0</x:v>
      </x:c>
      <x:c r="U9" t="str">
        <x:v>Ödendi</x:v>
      </x:c>
    </x:row>
    <x:row r="10">
      <x:c r="A10" s="24" t="n">
        <x:v>46204</x:v>
      </x:c>
      <x:c r="B10" s="24" t="n">
        <x:v>46174</x:v>
      </x:c>
      <x:c r="C10" t="str">
        <x:v>B002-R001</x:v>
      </x:c>
      <x:c r="D10" t="n">
        <x:v>1</x:v>
      </x:c>
      <x:c r="E10" t="str">
        <x:v>Pelin Yıldız</x:v>
      </x:c>
      <x:c r="F10" s="22" t="n">
        <x:v>151.01796407185628</x:v>
      </x:c>
      <x:c r="G10" s="22" t="n">
        <x:v>79.40119760479043</x:v>
      </x:c>
      <x:c r="H10" s="22" t="n">
        <x:v>171.2574850299401</x:v>
      </x:c>
      <x:c r="I10" s="22" t="n">
        <x:v>0</x:v>
      </x:c>
      <x:c r="J10" s="22" t="n">
        <x:v>0</x:v>
      </x:c>
      <x:c r="K10" s="22" t="n">
        <x:v>0</x:v>
      </x:c>
      <x:c r="L10" s="22" t="n">
        <x:v>249.10179640718565</x:v>
      </x:c>
      <x:c r="M10" s="22" t="n">
        <x:v>0</x:v>
      </x:c>
      <x:c r="N10" s="22" t="n">
        <x:v>0</x:v>
      </x:c>
      <x:c r="O10" s="22" t="n">
        <x:v>1362.2754491017965</x:v>
      </x:c>
      <x:c r="P10" s="22" t="n">
        <x:v>194.6107784431138</x:v>
      </x:c>
      <x:c r="Q10" s="22" t="n">
        <x:v>2207.664670658683</x:v>
      </x:c>
      <x:c r="R10" s="22" t="n">
        <x:v>2207.66</x:v>
      </x:c>
      <x:c r="S10" s="20" t="n">
        <x:v>46210</x:v>
      </x:c>
      <x:c r="T10" s="22" t="n">
        <x:v>0</x:v>
      </x:c>
      <x:c r="U10" t="str">
        <x:v>Ödendi</x:v>
      </x:c>
    </x:row>
    <x:row r="11">
      <x:c r="A11" s="24" t="n">
        <x:v>46023</x:v>
      </x:c>
      <x:c r="B11" s="24" t="n">
        <x:v>45992</x:v>
      </x:c>
      <x:c r="C11" t="str">
        <x:v>B002-R002</x:v>
      </x:c>
      <x:c r="D11" t="n">
        <x:v>2</x:v>
      </x:c>
      <x:c r="E11" t="str">
        <x:v>Burak Kılıç</x:v>
      </x:c>
      <x:c r="F11" s="22" t="n">
        <x:v>120.65868263473054</x:v>
      </x:c>
      <x:c r="G11" s="22" t="n">
        <x:v>63.83233532934132</x:v>
      </x:c>
      <x:c r="H11" s="22" t="n">
        <x:v>163.47305389221557</x:v>
      </x:c>
      <x:c r="I11" s="22" t="n">
        <x:v>140.11976047904193</x:v>
      </x:c>
      <x:c r="J11" s="22" t="n">
        <x:v>0</x:v>
      </x:c>
      <x:c r="K11" s="22" t="n">
        <x:v>0</x:v>
      </x:c>
      <x:c r="L11" s="22" t="n">
        <x:v>217.96407185628743</x:v>
      </x:c>
      <x:c r="M11" s="22" t="n">
        <x:v>0</x:v>
      </x:c>
      <x:c r="N11" s="22" t="n">
        <x:v>0</x:v>
      </x:c>
      <x:c r="O11" s="22" t="n">
        <x:v>0</x:v>
      </x:c>
      <x:c r="P11" s="22" t="n">
        <x:v>194.6107784431138</x:v>
      </x:c>
      <x:c r="Q11" s="22" t="n">
        <x:v>900.6586826347306</x:v>
      </x:c>
      <x:c r="R11" s="22" t="n">
        <x:v>900.66</x:v>
      </x:c>
      <x:c r="S11" s="20" t="n">
        <x:v>46033</x:v>
      </x:c>
      <x:c r="T11" s="22" t="n">
        <x:v>0</x:v>
      </x:c>
      <x:c r="U11" t="str">
        <x:v>Ödendi</x:v>
      </x:c>
    </x:row>
    <x:row r="12">
      <x:c r="A12" s="24" t="n">
        <x:v>46054</x:v>
      </x:c>
      <x:c r="B12" s="24" t="n">
        <x:v>46023</x:v>
      </x:c>
      <x:c r="C12" t="str">
        <x:v>B002-R002</x:v>
      </x:c>
      <x:c r="D12" t="n">
        <x:v>2</x:v>
      </x:c>
      <x:c r="E12" t="str">
        <x:v>Burak Kılıç</x:v>
      </x:c>
      <x:c r="F12" s="22" t="n">
        <x:v>128.4431137724551</x:v>
      </x:c>
      <x:c r="G12" s="22" t="n">
        <x:v>66.16766467065868</x:v>
      </x:c>
      <x:c r="H12" s="22" t="n">
        <x:v>163.47305389221557</x:v>
      </x:c>
      <x:c r="I12" s="22" t="n">
        <x:v>0</x:v>
      </x:c>
      <x:c r="J12" s="22" t="n">
        <x:v>249.10179640718565</x:v>
      </x:c>
      <x:c r="K12" s="22" t="n">
        <x:v>0</x:v>
      </x:c>
      <x:c r="L12" s="22" t="n">
        <x:v>217.96407185628743</x:v>
      </x:c>
      <x:c r="M12" s="22" t="n">
        <x:v>0</x:v>
      </x:c>
      <x:c r="N12" s="22" t="n">
        <x:v>0</x:v>
      </x:c>
      <x:c r="O12" s="22" t="n">
        <x:v>0</x:v>
      </x:c>
      <x:c r="P12" s="22" t="n">
        <x:v>194.6107784431138</x:v>
      </x:c>
      <x:c r="Q12" s="22" t="n">
        <x:v>1019.7604790419163</x:v>
      </x:c>
      <x:c r="R12" s="22" t="n">
        <x:v>1019.76</x:v>
      </x:c>
      <x:c r="S12" s="20" t="n">
        <x:v>46065</x:v>
      </x:c>
      <x:c r="T12" s="22" t="n">
        <x:v>0</x:v>
      </x:c>
      <x:c r="U12" t="str">
        <x:v>Ödendi</x:v>
      </x:c>
    </x:row>
    <x:row r="13">
      <x:c r="A13" s="24" t="n">
        <x:v>46082</x:v>
      </x:c>
      <x:c r="B13" s="24" t="n">
        <x:v>46054</x:v>
      </x:c>
      <x:c r="C13" t="str">
        <x:v>B002-R002</x:v>
      </x:c>
      <x:c r="D13" t="n">
        <x:v>2</x:v>
      </x:c>
      <x:c r="E13" t="str">
        <x:v>Burak Kılıç</x:v>
      </x:c>
      <x:c r="F13" s="22" t="n">
        <x:v>133.89221556886227</x:v>
      </x:c>
      <x:c r="G13" s="22" t="n">
        <x:v>71.61676646706587</x:v>
      </x:c>
      <x:c r="H13" s="22" t="n">
        <x:v>163.47305389221557</x:v>
      </x:c>
      <x:c r="I13" s="22" t="n">
        <x:v>186.82634730538922</x:v>
      </x:c>
      <x:c r="J13" s="22" t="n">
        <x:v>0</x:v>
      </x:c>
      <x:c r="K13" s="22" t="n">
        <x:v>326.94610778443115</x:v>
      </x:c>
      <x:c r="L13" s="22" t="n">
        <x:v>0</x:v>
      </x:c>
      <x:c r="M13" s="22" t="n">
        <x:v>0</x:v>
      </x:c>
      <x:c r="N13" s="22" t="n">
        <x:v>0</x:v>
      </x:c>
      <x:c r="O13" s="22" t="n">
        <x:v>0</x:v>
      </x:c>
      <x:c r="P13" s="22" t="n">
        <x:v>194.6107784431138</x:v>
      </x:c>
      <x:c r="Q13" s="22" t="n">
        <x:v>1077.3652694610778</x:v>
      </x:c>
      <x:c r="R13" s="22" t="n">
        <x:v>0</x:v>
      </x:c>
      <x:c r="S13" s="20"/>
      <x:c r="T13" s="22" t="n">
        <x:v>1077.37</x:v>
      </x:c>
      <x:c r="U13" t="str">
        <x:v>Ödenmedi</x:v>
      </x:c>
    </x:row>
    <x:row r="14">
      <x:c r="A14" s="24" t="n">
        <x:v>46113</x:v>
      </x:c>
      <x:c r="B14" s="24" t="n">
        <x:v>46082</x:v>
      </x:c>
      <x:c r="C14" t="str">
        <x:v>B002-R002</x:v>
      </x:c>
      <x:c r="D14" t="n">
        <x:v>2</x:v>
      </x:c>
      <x:c r="E14" t="str">
        <x:v>Burak Kılıç</x:v>
      </x:c>
      <x:c r="F14" s="22" t="n">
        <x:v>122.99401197604791</x:v>
      </x:c>
      <x:c r="G14" s="22" t="n">
        <x:v>69.28143712574851</x:v>
      </x:c>
      <x:c r="H14" s="22" t="n">
        <x:v>163.47305389221557</x:v>
      </x:c>
      <x:c r="I14" s="22" t="n">
        <x:v>0</x:v>
      </x:c>
      <x:c r="J14" s="22" t="n">
        <x:v>0</x:v>
      </x:c>
      <x:c r="K14" s="22" t="n">
        <x:v>0</x:v>
      </x:c>
      <x:c r="L14" s="22" t="n">
        <x:v>233.53293413173654</x:v>
      </x:c>
      <x:c r="M14" s="22" t="n">
        <x:v>0</x:v>
      </x:c>
      <x:c r="N14" s="22" t="n">
        <x:v>295.80838323353294</x:v>
      </x:c>
      <x:c r="O14" s="22" t="n">
        <x:v>0</x:v>
      </x:c>
      <x:c r="P14" s="22" t="n">
        <x:v>194.6107784431138</x:v>
      </x:c>
      <x:c r="Q14" s="22" t="n">
        <x:v>1079.7005988023952</x:v>
      </x:c>
      <x:c r="R14" s="22" t="n">
        <x:v>1079.7</x:v>
      </x:c>
      <x:c r="S14" s="20" t="n">
        <x:v>46123</x:v>
      </x:c>
      <x:c r="T14" s="22" t="n">
        <x:v>0</x:v>
      </x:c>
      <x:c r="U14" t="str">
        <x:v>Ödendi</x:v>
      </x:c>
    </x:row>
    <x:row r="15">
      <x:c r="A15" s="24" t="n">
        <x:v>46143</x:v>
      </x:c>
      <x:c r="B15" s="24" t="n">
        <x:v>46113</x:v>
      </x:c>
      <x:c r="C15" t="str">
        <x:v>B002-R002</x:v>
      </x:c>
      <x:c r="D15" t="n">
        <x:v>2</x:v>
      </x:c>
      <x:c r="E15" t="str">
        <x:v>Burak Kılıç</x:v>
      </x:c>
      <x:c r="F15" s="22" t="n">
        <x:v>131.5568862275449</x:v>
      </x:c>
      <x:c r="G15" s="22" t="n">
        <x:v>70.83832335329342</x:v>
      </x:c>
      <x:c r="H15" s="22" t="n">
        <x:v>171.2574850299401</x:v>
      </x:c>
      <x:c r="I15" s="22" t="n">
        <x:v>0</x:v>
      </x:c>
      <x:c r="J15" s="22" t="n">
        <x:v>482.63473053892216</x:v>
      </x:c>
      <x:c r="K15" s="22" t="n">
        <x:v>0</x:v>
      </x:c>
      <x:c r="L15" s="22" t="n">
        <x:v>0</x:v>
      </x:c>
      <x:c r="M15" s="22" t="n">
        <x:v>202.39520958083833</x:v>
      </x:c>
      <x:c r="N15" s="22" t="n">
        <x:v>0</x:v>
      </x:c>
      <x:c r="O15" s="22" t="n">
        <x:v>0</x:v>
      </x:c>
      <x:c r="P15" s="22" t="n">
        <x:v>194.6107784431138</x:v>
      </x:c>
      <x:c r="Q15" s="22" t="n">
        <x:v>1253.2934131736527</x:v>
      </x:c>
      <x:c r="R15" s="22" t="n">
        <x:v>1253.29</x:v>
      </x:c>
      <x:c r="S15" s="20" t="n">
        <x:v>46146</x:v>
      </x:c>
      <x:c r="T15" s="22" t="n">
        <x:v>0</x:v>
      </x:c>
      <x:c r="U15" t="str">
        <x:v>Ödendi</x:v>
      </x:c>
    </x:row>
    <x:row r="16">
      <x:c r="A16" s="24" t="n">
        <x:v>46174</x:v>
      </x:c>
      <x:c r="B16" s="24" t="n">
        <x:v>46143</x:v>
      </x:c>
      <x:c r="C16" t="str">
        <x:v>B002-R002</x:v>
      </x:c>
      <x:c r="D16" t="n">
        <x:v>2</x:v>
      </x:c>
      <x:c r="E16" t="str">
        <x:v>Burak Kılıç</x:v>
      </x:c>
      <x:c r="F16" s="22" t="n">
        <x:v>140.89820359281438</x:v>
      </x:c>
      <x:c r="G16" s="22" t="n">
        <x:v>76.2874251497006</x:v>
      </x:c>
      <x:c r="H16" s="22" t="n">
        <x:v>171.2574850299401</x:v>
      </x:c>
      <x:c r="I16" s="22" t="n">
        <x:v>280.23952095808386</x:v>
      </x:c>
      <x:c r="J16" s="22" t="n">
        <x:v>0</x:v>
      </x:c>
      <x:c r="K16" s="22" t="n">
        <x:v>0</x:v>
      </x:c>
      <x:c r="L16" s="22" t="n">
        <x:v>233.53293413173654</x:v>
      </x:c>
      <x:c r="M16" s="22" t="n">
        <x:v>0</x:v>
      </x:c>
      <x:c r="N16" s="22" t="n">
        <x:v>0</x:v>
      </x:c>
      <x:c r="O16" s="22" t="n">
        <x:v>0</x:v>
      </x:c>
      <x:c r="P16" s="22" t="n">
        <x:v>194.6107784431138</x:v>
      </x:c>
      <x:c r="Q16" s="22" t="n">
        <x:v>1096.8263473053894</x:v>
      </x:c>
      <x:c r="R16" s="22" t="n">
        <x:v>1096.83</x:v>
      </x:c>
      <x:c r="S16" s="20" t="n">
        <x:v>46182</x:v>
      </x:c>
      <x:c r="T16" s="22" t="n">
        <x:v>0</x:v>
      </x:c>
      <x:c r="U16" t="str">
        <x:v>Ödendi</x:v>
      </x:c>
    </x:row>
    <x:row r="17">
      <x:c r="A17" s="24" t="n">
        <x:v>46204</x:v>
      </x:c>
      <x:c r="B17" s="24" t="n">
        <x:v>46174</x:v>
      </x:c>
      <x:c r="C17" t="str">
        <x:v>B002-R002</x:v>
      </x:c>
      <x:c r="D17" t="n">
        <x:v>2</x:v>
      </x:c>
      <x:c r="E17" t="str">
        <x:v>Burak Kılıç</x:v>
      </x:c>
      <x:c r="F17" s="22" t="n">
        <x:v>151.01796407185628</x:v>
      </x:c>
      <x:c r="G17" s="22" t="n">
        <x:v>79.40119760479043</x:v>
      </x:c>
      <x:c r="H17" s="22" t="n">
        <x:v>171.2574850299401</x:v>
      </x:c>
      <x:c r="I17" s="22" t="n">
        <x:v>0</x:v>
      </x:c>
      <x:c r="J17" s="22" t="n">
        <x:v>0</x:v>
      </x:c>
      <x:c r="K17" s="22" t="n">
        <x:v>0</x:v>
      </x:c>
      <x:c r="L17" s="22" t="n">
        <x:v>249.10179640718565</x:v>
      </x:c>
      <x:c r="M17" s="22" t="n">
        <x:v>0</x:v>
      </x:c>
      <x:c r="N17" s="22" t="n">
        <x:v>0</x:v>
      </x:c>
      <x:c r="O17" s="22" t="n">
        <x:v>1362.2754491017965</x:v>
      </x:c>
      <x:c r="P17" s="22" t="n">
        <x:v>194.6107784431138</x:v>
      </x:c>
      <x:c r="Q17" s="22" t="n">
        <x:v>2207.664670658683</x:v>
      </x:c>
      <x:c r="R17" s="22" t="n">
        <x:v>2207.66</x:v>
      </x:c>
      <x:c r="S17" s="20" t="n">
        <x:v>46208</x:v>
      </x:c>
      <x:c r="T17" s="22" t="n">
        <x:v>0</x:v>
      </x:c>
      <x:c r="U17" t="str">
        <x:v>Ödendi</x:v>
      </x:c>
    </x:row>
    <x:row r="18">
      <x:c r="A18" s="24" t="n">
        <x:v>46023</x:v>
      </x:c>
      <x:c r="B18" s="24" t="n">
        <x:v>45992</x:v>
      </x:c>
      <x:c r="C18" t="str">
        <x:v>B002-R003</x:v>
      </x:c>
      <x:c r="D18" t="n">
        <x:v>3</x:v>
      </x:c>
      <x:c r="E18" t="str">
        <x:v>Mehmet Özdemir</x:v>
      </x:c>
      <x:c r="F18" s="22" t="n">
        <x:v>162.42514970059878</x:v>
      </x:c>
      <x:c r="G18" s="22" t="n">
        <x:v>85.92814371257485</x:v>
      </x:c>
      <x:c r="H18" s="22" t="n">
        <x:v>220.05988023952094</x:v>
      </x:c>
      <x:c r="I18" s="22" t="n">
        <x:v>188.62275449101796</x:v>
      </x:c>
      <x:c r="J18" s="22" t="n">
        <x:v>0</x:v>
      </x:c>
      <x:c r="K18" s="22" t="n">
        <x:v>0</x:v>
      </x:c>
      <x:c r="L18" s="22" t="n">
        <x:v>293.4131736526946</x:v>
      </x:c>
      <x:c r="M18" s="22" t="n">
        <x:v>0</x:v>
      </x:c>
      <x:c r="N18" s="22" t="n">
        <x:v>0</x:v>
      </x:c>
      <x:c r="O18" s="22" t="n">
        <x:v>0</x:v>
      </x:c>
      <x:c r="P18" s="22" t="n">
        <x:v>261.9760479041916</x:v>
      </x:c>
      <x:c r="Q18" s="22" t="n">
        <x:v>1212.4251497005987</x:v>
      </x:c>
      <x:c r="R18" s="22" t="n">
        <x:v>1212.43</x:v>
      </x:c>
      <x:c r="S18" s="20" t="n">
        <x:v>46028</x:v>
      </x:c>
      <x:c r="T18" s="22" t="n">
        <x:v>0</x:v>
      </x:c>
      <x:c r="U18" t="str">
        <x:v>Ödendi</x:v>
      </x:c>
    </x:row>
    <x:row r="19">
      <x:c r="A19" s="24" t="n">
        <x:v>46054</x:v>
      </x:c>
      <x:c r="B19" s="24" t="n">
        <x:v>46023</x:v>
      </x:c>
      <x:c r="C19" t="str">
        <x:v>B002-R003</x:v>
      </x:c>
      <x:c r="D19" t="n">
        <x:v>3</x:v>
      </x:c>
      <x:c r="E19" t="str">
        <x:v>Mehmet Özdemir</x:v>
      </x:c>
      <x:c r="F19" s="22" t="n">
        <x:v>172.90419161676647</x:v>
      </x:c>
      <x:c r="G19" s="22" t="n">
        <x:v>89.07185628742515</x:v>
      </x:c>
      <x:c r="H19" s="22" t="n">
        <x:v>220.05988023952094</x:v>
      </x:c>
      <x:c r="I19" s="22" t="n">
        <x:v>0</x:v>
      </x:c>
      <x:c r="J19" s="22" t="n">
        <x:v>335.3293413173652</x:v>
      </x:c>
      <x:c r="K19" s="22" t="n">
        <x:v>0</x:v>
      </x:c>
      <x:c r="L19" s="22" t="n">
        <x:v>293.4131736526946</x:v>
      </x:c>
      <x:c r="M19" s="22" t="n">
        <x:v>0</x:v>
      </x:c>
      <x:c r="N19" s="22" t="n">
        <x:v>0</x:v>
      </x:c>
      <x:c r="O19" s="22" t="n">
        <x:v>0</x:v>
      </x:c>
      <x:c r="P19" s="22" t="n">
        <x:v>261.9760479041916</x:v>
      </x:c>
      <x:c r="Q19" s="22" t="n">
        <x:v>1372.754491017964</x:v>
      </x:c>
      <x:c r="R19" s="22" t="n">
        <x:v>1372.75</x:v>
      </x:c>
      <x:c r="S19" s="20" t="n">
        <x:v>46061</x:v>
      </x:c>
      <x:c r="T19" s="22" t="n">
        <x:v>0</x:v>
      </x:c>
      <x:c r="U19" t="str">
        <x:v>Ödendi</x:v>
      </x:c>
    </x:row>
    <x:row r="20">
      <x:c r="A20" s="24" t="n">
        <x:v>46082</x:v>
      </x:c>
      <x:c r="B20" s="24" t="n">
        <x:v>46054</x:v>
      </x:c>
      <x:c r="C20" t="str">
        <x:v>B002-R003</x:v>
      </x:c>
      <x:c r="D20" t="n">
        <x:v>3</x:v>
      </x:c>
      <x:c r="E20" t="str">
        <x:v>Mehmet Özdemir</x:v>
      </x:c>
      <x:c r="F20" s="22" t="n">
        <x:v>180.23952095808383</x:v>
      </x:c>
      <x:c r="G20" s="22" t="n">
        <x:v>96.40718562874251</x:v>
      </x:c>
      <x:c r="H20" s="22" t="n">
        <x:v>220.05988023952094</x:v>
      </x:c>
      <x:c r="I20" s="22" t="n">
        <x:v>251.49700598802394</x:v>
      </x:c>
      <x:c r="J20" s="22" t="n">
        <x:v>0</x:v>
      </x:c>
      <x:c r="K20" s="22" t="n">
        <x:v>440.1197604790419</x:v>
      </x:c>
      <x:c r="L20" s="22" t="n">
        <x:v>0</x:v>
      </x:c>
      <x:c r="M20" s="22" t="n">
        <x:v>0</x:v>
      </x:c>
      <x:c r="N20" s="22" t="n">
        <x:v>0</x:v>
      </x:c>
      <x:c r="O20" s="22" t="n">
        <x:v>0</x:v>
      </x:c>
      <x:c r="P20" s="22" t="n">
        <x:v>261.9760479041916</x:v>
      </x:c>
      <x:c r="Q20" s="22" t="n">
        <x:v>1450.2994011976048</x:v>
      </x:c>
      <x:c r="R20" s="22" t="n">
        <x:v>1450.3</x:v>
      </x:c>
      <x:c r="S20" s="20" t="n">
        <x:v>46088</x:v>
      </x:c>
      <x:c r="T20" s="22" t="n">
        <x:v>0</x:v>
      </x:c>
      <x:c r="U20" t="str">
        <x:v>Ödendi</x:v>
      </x:c>
    </x:row>
    <x:row r="21">
      <x:c r="A21" s="24" t="n">
        <x:v>46113</x:v>
      </x:c>
      <x:c r="B21" s="24" t="n">
        <x:v>46082</x:v>
      </x:c>
      <x:c r="C21" t="str">
        <x:v>B002-R003</x:v>
      </x:c>
      <x:c r="D21" t="n">
        <x:v>3</x:v>
      </x:c>
      <x:c r="E21" t="str">
        <x:v>Mehmet Özdemir</x:v>
      </x:c>
      <x:c r="F21" s="22" t="n">
        <x:v>165.56886227544908</x:v>
      </x:c>
      <x:c r="G21" s="22" t="n">
        <x:v>93.26347305389221</x:v>
      </x:c>
      <x:c r="H21" s="22" t="n">
        <x:v>220.05988023952094</x:v>
      </x:c>
      <x:c r="I21" s="22" t="n">
        <x:v>0</x:v>
      </x:c>
      <x:c r="J21" s="22" t="n">
        <x:v>0</x:v>
      </x:c>
      <x:c r="K21" s="22" t="n">
        <x:v>0</x:v>
      </x:c>
      <x:c r="L21" s="22" t="n">
        <x:v>314.3712574850299</x:v>
      </x:c>
      <x:c r="M21" s="22" t="n">
        <x:v>0</x:v>
      </x:c>
      <x:c r="N21" s="22" t="n">
        <x:v>398.20359281437123</x:v>
      </x:c>
      <x:c r="O21" s="22" t="n">
        <x:v>0</x:v>
      </x:c>
      <x:c r="P21" s="22" t="n">
        <x:v>261.9760479041916</x:v>
      </x:c>
      <x:c r="Q21" s="22" t="n">
        <x:v>1453.443113772455</x:v>
      </x:c>
      <x:c r="R21" s="22" t="n">
        <x:v>1453.44</x:v>
      </x:c>
      <x:c r="S21" s="20" t="n">
        <x:v>46120</x:v>
      </x:c>
      <x:c r="T21" s="22" t="n">
        <x:v>0</x:v>
      </x:c>
      <x:c r="U21" t="str">
        <x:v>Ödendi</x:v>
      </x:c>
    </x:row>
    <x:row r="22">
      <x:c r="A22" s="24" t="n">
        <x:v>46143</x:v>
      </x:c>
      <x:c r="B22" s="24" t="n">
        <x:v>46113</x:v>
      </x:c>
      <x:c r="C22" t="str">
        <x:v>B002-R003</x:v>
      </x:c>
      <x:c r="D22" t="n">
        <x:v>3</x:v>
      </x:c>
      <x:c r="E22" t="str">
        <x:v>Mehmet Özdemir</x:v>
      </x:c>
      <x:c r="F22" s="22" t="n">
        <x:v>177.09580838323353</x:v>
      </x:c>
      <x:c r="G22" s="22" t="n">
        <x:v>95.35928143712574</x:v>
      </x:c>
      <x:c r="H22" s="22" t="n">
        <x:v>230.5389221556886</x:v>
      </x:c>
      <x:c r="I22" s="22" t="n">
        <x:v>0</x:v>
      </x:c>
      <x:c r="J22" s="22" t="n">
        <x:v>649.7005988023951</x:v>
      </x:c>
      <x:c r="K22" s="22" t="n">
        <x:v>0</x:v>
      </x:c>
      <x:c r="L22" s="22" t="n">
        <x:v>0</x:v>
      </x:c>
      <x:c r="M22" s="22" t="n">
        <x:v>272.45508982035926</x:v>
      </x:c>
      <x:c r="N22" s="22" t="n">
        <x:v>0</x:v>
      </x:c>
      <x:c r="O22" s="22" t="n">
        <x:v>0</x:v>
      </x:c>
      <x:c r="P22" s="22" t="n">
        <x:v>261.9760479041916</x:v>
      </x:c>
      <x:c r="Q22" s="22" t="n">
        <x:v>1687.125748502994</x:v>
      </x:c>
      <x:c r="R22" s="22" t="n">
        <x:v>1687.13</x:v>
      </x:c>
      <x:c r="S22" s="20" t="n">
        <x:v>46151</x:v>
      </x:c>
      <x:c r="T22" s="22" t="n">
        <x:v>0</x:v>
      </x:c>
      <x:c r="U22" t="str">
        <x:v>Ödendi</x:v>
      </x:c>
    </x:row>
    <x:row r="23">
      <x:c r="A23" s="24" t="n">
        <x:v>46174</x:v>
      </x:c>
      <x:c r="B23" s="24" t="n">
        <x:v>46143</x:v>
      </x:c>
      <x:c r="C23" t="str">
        <x:v>B002-R003</x:v>
      </x:c>
      <x:c r="D23" t="n">
        <x:v>3</x:v>
      </x:c>
      <x:c r="E23" t="str">
        <x:v>Mehmet Özdemir</x:v>
      </x:c>
      <x:c r="F23" s="22" t="n">
        <x:v>189.67065868263472</x:v>
      </x:c>
      <x:c r="G23" s="22" t="n">
        <x:v>102.6946107784431</x:v>
      </x:c>
      <x:c r="H23" s="22" t="n">
        <x:v>230.5389221556886</x:v>
      </x:c>
      <x:c r="I23" s="22" t="n">
        <x:v>377.2455089820359</x:v>
      </x:c>
      <x:c r="J23" s="22" t="n">
        <x:v>0</x:v>
      </x:c>
      <x:c r="K23" s="22" t="n">
        <x:v>0</x:v>
      </x:c>
      <x:c r="L23" s="22" t="n">
        <x:v>314.3712574850299</x:v>
      </x:c>
      <x:c r="M23" s="22" t="n">
        <x:v>0</x:v>
      </x:c>
      <x:c r="N23" s="22" t="n">
        <x:v>0</x:v>
      </x:c>
      <x:c r="O23" s="22" t="n">
        <x:v>0</x:v>
      </x:c>
      <x:c r="P23" s="22" t="n">
        <x:v>261.9760479041916</x:v>
      </x:c>
      <x:c r="Q23" s="22" t="n">
        <x:v>1476.4970059880238</x:v>
      </x:c>
      <x:c r="R23" s="22" t="n">
        <x:v>1476.5</x:v>
      </x:c>
      <x:c r="S23" s="20" t="n">
        <x:v>46186</x:v>
      </x:c>
      <x:c r="T23" s="22" t="n">
        <x:v>0</x:v>
      </x:c>
      <x:c r="U23" t="str">
        <x:v>Ödendi</x:v>
      </x:c>
    </x:row>
    <x:row r="24">
      <x:c r="A24" s="24" t="n">
        <x:v>46204</x:v>
      </x:c>
      <x:c r="B24" s="24" t="n">
        <x:v>46174</x:v>
      </x:c>
      <x:c r="C24" t="str">
        <x:v>B002-R003</x:v>
      </x:c>
      <x:c r="D24" t="n">
        <x:v>3</x:v>
      </x:c>
      <x:c r="E24" t="str">
        <x:v>Mehmet Özdemir</x:v>
      </x:c>
      <x:c r="F24" s="22" t="n">
        <x:v>203.29341317365268</x:v>
      </x:c>
      <x:c r="G24" s="22" t="n">
        <x:v>106.88622754491017</x:v>
      </x:c>
      <x:c r="H24" s="22" t="n">
        <x:v>230.5389221556886</x:v>
      </x:c>
      <x:c r="I24" s="22" t="n">
        <x:v>0</x:v>
      </x:c>
      <x:c r="J24" s="22" t="n">
        <x:v>0</x:v>
      </x:c>
      <x:c r="K24" s="22" t="n">
        <x:v>0</x:v>
      </x:c>
      <x:c r="L24" s="22" t="n">
        <x:v>335.3293413173652</x:v>
      </x:c>
      <x:c r="M24" s="22" t="n">
        <x:v>0</x:v>
      </x:c>
      <x:c r="N24" s="22" t="n">
        <x:v>0</x:v>
      </x:c>
      <x:c r="O24" s="22" t="n">
        <x:v>1833.8323353293413</x:v>
      </x:c>
      <x:c r="P24" s="22" t="n">
        <x:v>261.9760479041916</x:v>
      </x:c>
      <x:c r="Q24" s="22" t="n">
        <x:v>2971.8562874251497</x:v>
      </x:c>
      <x:c r="R24" s="22" t="n">
        <x:v>0</x:v>
      </x:c>
      <x:c r="S24" s="20"/>
      <x:c r="T24" s="22" t="n">
        <x:v>2971.86</x:v>
      </x:c>
      <x:c r="U24" t="str">
        <x:v>Ödenmedi</x:v>
      </x:c>
    </x:row>
    <x:row r="25">
      <x:c r="A25" s="24" t="n">
        <x:v>46023</x:v>
      </x:c>
      <x:c r="B25" s="24" t="n">
        <x:v>45992</x:v>
      </x:c>
      <x:c r="C25" t="str">
        <x:v>B002-R004</x:v>
      </x:c>
      <x:c r="D25" t="n">
        <x:v>4</x:v>
      </x:c>
      <x:c r="E25" t="str">
        <x:v>Onur Özdemir</x:v>
      </x:c>
      <x:c r="F25" s="22" t="n">
        <x:v>105.18962075848304</x:v>
      </x:c>
      <x:c r="G25" s="22" t="n">
        <x:v>55.64870259481038</x:v>
      </x:c>
      <x:c r="H25" s="22" t="n">
        <x:v>142.51497005988026</x:v>
      </x:c>
      <x:c r="I25" s="22" t="n">
        <x:v>122.1556886227545</x:v>
      </x:c>
      <x:c r="J25" s="22" t="n">
        <x:v>0</x:v>
      </x:c>
      <x:c r="K25" s="22" t="n">
        <x:v>0</x:v>
      </x:c>
      <x:c r="L25" s="22" t="n">
        <x:v>190.01996007984033</x:v>
      </x:c>
      <x:c r="M25" s="22" t="n">
        <x:v>0</x:v>
      </x:c>
      <x:c r="N25" s="22" t="n">
        <x:v>0</x:v>
      </x:c>
      <x:c r="O25" s="22" t="n">
        <x:v>0</x:v>
      </x:c>
      <x:c r="P25" s="22" t="n">
        <x:v>169.66067864271457</x:v>
      </x:c>
      <x:c r="Q25" s="22" t="n">
        <x:v>785.1896207584831</x:v>
      </x:c>
      <x:c r="R25" s="22" t="n">
        <x:v>785.19</x:v>
      </x:c>
      <x:c r="S25" s="20" t="n">
        <x:v>46028</x:v>
      </x:c>
      <x:c r="T25" s="22" t="n">
        <x:v>0</x:v>
      </x:c>
      <x:c r="U25" t="str">
        <x:v>Ödendi</x:v>
      </x:c>
    </x:row>
    <x:row r="26">
      <x:c r="A26" s="24" t="n">
        <x:v>46054</x:v>
      </x:c>
      <x:c r="B26" s="24" t="n">
        <x:v>46023</x:v>
      </x:c>
      <x:c r="C26" t="str">
        <x:v>B002-R004</x:v>
      </x:c>
      <x:c r="D26" t="n">
        <x:v>4</x:v>
      </x:c>
      <x:c r="E26" t="str">
        <x:v>Onur Özdemir</x:v>
      </x:c>
      <x:c r="F26" s="22" t="n">
        <x:v>111.97604790419162</x:v>
      </x:c>
      <x:c r="G26" s="22" t="n">
        <x:v>57.684630738522955</x:v>
      </x:c>
      <x:c r="H26" s="22" t="n">
        <x:v>142.51497005988026</x:v>
      </x:c>
      <x:c r="I26" s="22" t="n">
        <x:v>0</x:v>
      </x:c>
      <x:c r="J26" s="22" t="n">
        <x:v>217.16566866267465</x:v>
      </x:c>
      <x:c r="K26" s="22" t="n">
        <x:v>0</x:v>
      </x:c>
      <x:c r="L26" s="22" t="n">
        <x:v>190.01996007984033</x:v>
      </x:c>
      <x:c r="M26" s="22" t="n">
        <x:v>0</x:v>
      </x:c>
      <x:c r="N26" s="22" t="n">
        <x:v>0</x:v>
      </x:c>
      <x:c r="O26" s="22" t="n">
        <x:v>0</x:v>
      </x:c>
      <x:c r="P26" s="22" t="n">
        <x:v>169.66067864271457</x:v>
      </x:c>
      <x:c r="Q26" s="22" t="n">
        <x:v>889.0219560878244</x:v>
      </x:c>
      <x:c r="R26" s="22" t="n">
        <x:v>889.02</x:v>
      </x:c>
      <x:c r="S26" s="20" t="n">
        <x:v>46061</x:v>
      </x:c>
      <x:c r="T26" s="22" t="n">
        <x:v>0</x:v>
      </x:c>
      <x:c r="U26" t="str">
        <x:v>Ödendi</x:v>
      </x:c>
    </x:row>
    <x:row r="27">
      <x:c r="A27" s="24" t="n">
        <x:v>46082</x:v>
      </x:c>
      <x:c r="B27" s="24" t="n">
        <x:v>46054</x:v>
      </x:c>
      <x:c r="C27" t="str">
        <x:v>B002-R004</x:v>
      </x:c>
      <x:c r="D27" t="n">
        <x:v>4</x:v>
      </x:c>
      <x:c r="E27" t="str">
        <x:v>Onur Özdemir</x:v>
      </x:c>
      <x:c r="F27" s="22" t="n">
        <x:v>116.72654690618764</x:v>
      </x:c>
      <x:c r="G27" s="22" t="n">
        <x:v>62.43512974051897</x:v>
      </x:c>
      <x:c r="H27" s="22" t="n">
        <x:v>142.51497005988026</x:v>
      </x:c>
      <x:c r="I27" s="22" t="n">
        <x:v>162.874251497006</x:v>
      </x:c>
      <x:c r="J27" s="22" t="n">
        <x:v>0</x:v>
      </x:c>
      <x:c r="K27" s="22" t="n">
        <x:v>285.0299401197605</x:v>
      </x:c>
      <x:c r="L27" s="22" t="n">
        <x:v>0</x:v>
      </x:c>
      <x:c r="M27" s="22" t="n">
        <x:v>0</x:v>
      </x:c>
      <x:c r="N27" s="22" t="n">
        <x:v>0</x:v>
      </x:c>
      <x:c r="O27" s="22" t="n">
        <x:v>0</x:v>
      </x:c>
      <x:c r="P27" s="22" t="n">
        <x:v>169.66067864271457</x:v>
      </x:c>
      <x:c r="Q27" s="22" t="n">
        <x:v>939.2415169660679</x:v>
      </x:c>
      <x:c r="R27" s="22" t="n">
        <x:v>0</x:v>
      </x:c>
      <x:c r="S27" s="20"/>
      <x:c r="T27" s="22" t="n">
        <x:v>939.24</x:v>
      </x:c>
      <x:c r="U27" t="str">
        <x:v>Ödenmedi</x:v>
      </x:c>
    </x:row>
    <x:row r="28">
      <x:c r="A28" s="24" t="n">
        <x:v>46113</x:v>
      </x:c>
      <x:c r="B28" s="24" t="n">
        <x:v>46082</x:v>
      </x:c>
      <x:c r="C28" t="str">
        <x:v>B002-R004</x:v>
      </x:c>
      <x:c r="D28" t="n">
        <x:v>4</x:v>
      </x:c>
      <x:c r="E28" t="str">
        <x:v>Onur Özdemir</x:v>
      </x:c>
      <x:c r="F28" s="22" t="n">
        <x:v>107.22554890219561</x:v>
      </x:c>
      <x:c r="G28" s="22" t="n">
        <x:v>60.39920159680639</x:v>
      </x:c>
      <x:c r="H28" s="22" t="n">
        <x:v>142.51497005988026</x:v>
      </x:c>
      <x:c r="I28" s="22" t="n">
        <x:v>0</x:v>
      </x:c>
      <x:c r="J28" s="22" t="n">
        <x:v>0</x:v>
      </x:c>
      <x:c r="K28" s="22" t="n">
        <x:v>0</x:v>
      </x:c>
      <x:c r="L28" s="22" t="n">
        <x:v>203.5928143712575</x:v>
      </x:c>
      <x:c r="M28" s="22" t="n">
        <x:v>0</x:v>
      </x:c>
      <x:c r="N28" s="22" t="n">
        <x:v>257.88423153692617</x:v>
      </x:c>
      <x:c r="O28" s="22" t="n">
        <x:v>0</x:v>
      </x:c>
      <x:c r="P28" s="22" t="n">
        <x:v>169.66067864271457</x:v>
      </x:c>
      <x:c r="Q28" s="22" t="n">
        <x:v>941.2774451097805</x:v>
      </x:c>
      <x:c r="R28" s="22" t="n">
        <x:v>941.28</x:v>
      </x:c>
      <x:c r="S28" s="20" t="n">
        <x:v>46116</x:v>
      </x:c>
      <x:c r="T28" s="22" t="n">
        <x:v>0</x:v>
      </x:c>
      <x:c r="U28" t="str">
        <x:v>Ödendi</x:v>
      </x:c>
    </x:row>
    <x:row r="29">
      <x:c r="A29" s="24" t="n">
        <x:v>46143</x:v>
      </x:c>
      <x:c r="B29" s="24" t="n">
        <x:v>46113</x:v>
      </x:c>
      <x:c r="C29" t="str">
        <x:v>B002-R004</x:v>
      </x:c>
      <x:c r="D29" t="n">
        <x:v>4</x:v>
      </x:c>
      <x:c r="E29" t="str">
        <x:v>Onur Özdemir</x:v>
      </x:c>
      <x:c r="F29" s="22" t="n">
        <x:v>114.69061876247505</x:v>
      </x:c>
      <x:c r="G29" s="22" t="n">
        <x:v>61.756487025948104</x:v>
      </x:c>
      <x:c r="H29" s="22" t="n">
        <x:v>149.30139720558884</x:v>
      </x:c>
      <x:c r="I29" s="22" t="n">
        <x:v>0</x:v>
      </x:c>
      <x:c r="J29" s="22" t="n">
        <x:v>420.7584830339322</x:v>
      </x:c>
      <x:c r="K29" s="22" t="n">
        <x:v>0</x:v>
      </x:c>
      <x:c r="L29" s="22" t="n">
        <x:v>0</x:v>
      </x:c>
      <x:c r="M29" s="22" t="n">
        <x:v>176.44710578842316</x:v>
      </x:c>
      <x:c r="N29" s="22" t="n">
        <x:v>0</x:v>
      </x:c>
      <x:c r="O29" s="22" t="n">
        <x:v>0</x:v>
      </x:c>
      <x:c r="P29" s="22" t="n">
        <x:v>169.66067864271457</x:v>
      </x:c>
      <x:c r="Q29" s="22" t="n">
        <x:v>1092.614770459082</x:v>
      </x:c>
      <x:c r="R29" s="22" t="n">
        <x:v>1092.61</x:v>
      </x:c>
      <x:c r="S29" s="20" t="n">
        <x:v>46151</x:v>
      </x:c>
      <x:c r="T29" s="22" t="n">
        <x:v>0</x:v>
      </x:c>
      <x:c r="U29" t="str">
        <x:v>Ödendi</x:v>
      </x:c>
    </x:row>
    <x:row r="30">
      <x:c r="A30" s="24" t="n">
        <x:v>46174</x:v>
      </x:c>
      <x:c r="B30" s="24" t="n">
        <x:v>46143</x:v>
      </x:c>
      <x:c r="C30" t="str">
        <x:v>B002-R004</x:v>
      </x:c>
      <x:c r="D30" t="n">
        <x:v>4</x:v>
      </x:c>
      <x:c r="E30" t="str">
        <x:v>Onur Özdemir</x:v>
      </x:c>
      <x:c r="F30" s="22" t="n">
        <x:v>122.83433133732535</x:v>
      </x:c>
      <x:c r="G30" s="22" t="n">
        <x:v>66.50698602794411</x:v>
      </x:c>
      <x:c r="H30" s="22" t="n">
        <x:v>149.30139720558884</x:v>
      </x:c>
      <x:c r="I30" s="22" t="n">
        <x:v>244.311377245509</x:v>
      </x:c>
      <x:c r="J30" s="22" t="n">
        <x:v>0</x:v>
      </x:c>
      <x:c r="K30" s="22" t="n">
        <x:v>0</x:v>
      </x:c>
      <x:c r="L30" s="22" t="n">
        <x:v>203.5928143712575</x:v>
      </x:c>
      <x:c r="M30" s="22" t="n">
        <x:v>0</x:v>
      </x:c>
      <x:c r="N30" s="22" t="n">
        <x:v>0</x:v>
      </x:c>
      <x:c r="O30" s="22" t="n">
        <x:v>0</x:v>
      </x:c>
      <x:c r="P30" s="22" t="n">
        <x:v>169.66067864271457</x:v>
      </x:c>
      <x:c r="Q30" s="22" t="n">
        <x:v>956.2075848303393</x:v>
      </x:c>
      <x:c r="R30" s="22" t="n">
        <x:v>956.21</x:v>
      </x:c>
      <x:c r="S30" s="20" t="n">
        <x:v>46186</x:v>
      </x:c>
      <x:c r="T30" s="22" t="n">
        <x:v>0</x:v>
      </x:c>
      <x:c r="U30" t="str">
        <x:v>Ödendi</x:v>
      </x:c>
    </x:row>
    <x:row r="31">
      <x:c r="A31" s="24" t="n">
        <x:v>46204</x:v>
      </x:c>
      <x:c r="B31" s="24" t="n">
        <x:v>46174</x:v>
      </x:c>
      <x:c r="C31" t="str">
        <x:v>B002-R004</x:v>
      </x:c>
      <x:c r="D31" t="n">
        <x:v>4</x:v>
      </x:c>
      <x:c r="E31" t="str">
        <x:v>Onur Özdemir</x:v>
      </x:c>
      <x:c r="F31" s="22" t="n">
        <x:v>131.6566866267465</x:v>
      </x:c>
      <x:c r="G31" s="22" t="n">
        <x:v>69.22155688622755</x:v>
      </x:c>
      <x:c r="H31" s="22" t="n">
        <x:v>149.30139720558884</x:v>
      </x:c>
      <x:c r="I31" s="22" t="n">
        <x:v>0</x:v>
      </x:c>
      <x:c r="J31" s="22" t="n">
        <x:v>0</x:v>
      </x:c>
      <x:c r="K31" s="22" t="n">
        <x:v>0</x:v>
      </x:c>
      <x:c r="L31" s="22" t="n">
        <x:v>217.16566866267465</x:v>
      </x:c>
      <x:c r="M31" s="22" t="n">
        <x:v>0</x:v>
      </x:c>
      <x:c r="N31" s="22" t="n">
        <x:v>0</x:v>
      </x:c>
      <x:c r="O31" s="22" t="n">
        <x:v>1187.624750499002</x:v>
      </x:c>
      <x:c r="P31" s="22" t="n">
        <x:v>169.66067864271457</x:v>
      </x:c>
      <x:c r="Q31" s="22" t="n">
        <x:v>1924.630738522954</x:v>
      </x:c>
      <x:c r="R31" s="22" t="n">
        <x:v>1924.63</x:v>
      </x:c>
      <x:c r="S31" s="20" t="n">
        <x:v>46208</x:v>
      </x:c>
      <x:c r="T31" s="22" t="n">
        <x:v>0</x:v>
      </x:c>
      <x:c r="U31" t="str">
        <x:v>Ödendi</x:v>
      </x:c>
    </x:row>
    <x:row r="32">
      <x:c r="A32" s="24" t="n">
        <x:v>46023</x:v>
      </x:c>
      <x:c r="B32" s="24" t="n">
        <x:v>45992</x:v>
      </x:c>
      <x:c r="C32" t="str">
        <x:v>B002-R005</x:v>
      </x:c>
      <x:c r="D32" t="n">
        <x:v>5</x:v>
      </x:c>
      <x:c r="E32" t="str">
        <x:v>Selin Kılıç</x:v>
      </x:c>
      <x:c r="F32" s="22" t="n">
        <x:v>148.50299401197606</x:v>
      </x:c>
      <x:c r="G32" s="22" t="n">
        <x:v>78.562874251497</x:v>
      </x:c>
      <x:c r="H32" s="22" t="n">
        <x:v>201.19760479041918</x:v>
      </x:c>
      <x:c r="I32" s="22" t="n">
        <x:v>172.4550898203593</x:v>
      </x:c>
      <x:c r="J32" s="22" t="n">
        <x:v>0</x:v>
      </x:c>
      <x:c r="K32" s="22" t="n">
        <x:v>0</x:v>
      </x:c>
      <x:c r="L32" s="22" t="n">
        <x:v>268.26347305389226</x:v>
      </x:c>
      <x:c r="M32" s="22" t="n">
        <x:v>0</x:v>
      </x:c>
      <x:c r="N32" s="22" t="n">
        <x:v>0</x:v>
      </x:c>
      <x:c r="O32" s="22" t="n">
        <x:v>0</x:v>
      </x:c>
      <x:c r="P32" s="22" t="n">
        <x:v>239.52095808383234</x:v>
      </x:c>
      <x:c r="Q32" s="22" t="n">
        <x:v>1108.5029940119762</x:v>
      </x:c>
      <x:c r="R32" s="22" t="n">
        <x:v>1108.5</x:v>
      </x:c>
      <x:c r="S32" s="20" t="n">
        <x:v>46032</x:v>
      </x:c>
      <x:c r="T32" s="22" t="n">
        <x:v>0</x:v>
      </x:c>
      <x:c r="U32" t="str">
        <x:v>Ödendi</x:v>
      </x:c>
    </x:row>
    <x:row r="33">
      <x:c r="A33" s="24" t="n">
        <x:v>46054</x:v>
      </x:c>
      <x:c r="B33" s="24" t="n">
        <x:v>46023</x:v>
      </x:c>
      <x:c r="C33" t="str">
        <x:v>B002-R005</x:v>
      </x:c>
      <x:c r="D33" t="n">
        <x:v>5</x:v>
      </x:c>
      <x:c r="E33" t="str">
        <x:v>Selin Kılıç</x:v>
      </x:c>
      <x:c r="F33" s="22" t="n">
        <x:v>158.08383233532936</x:v>
      </x:c>
      <x:c r="G33" s="22" t="n">
        <x:v>81.437125748503</x:v>
      </x:c>
      <x:c r="H33" s="22" t="n">
        <x:v>201.19760479041918</x:v>
      </x:c>
      <x:c r="I33" s="22" t="n">
        <x:v>0</x:v>
      </x:c>
      <x:c r="J33" s="22" t="n">
        <x:v>306.5868263473054</x:v>
      </x:c>
      <x:c r="K33" s="22" t="n">
        <x:v>0</x:v>
      </x:c>
      <x:c r="L33" s="22" t="n">
        <x:v>268.26347305389226</x:v>
      </x:c>
      <x:c r="M33" s="22" t="n">
        <x:v>0</x:v>
      </x:c>
      <x:c r="N33" s="22" t="n">
        <x:v>0</x:v>
      </x:c>
      <x:c r="O33" s="22" t="n">
        <x:v>0</x:v>
      </x:c>
      <x:c r="P33" s="22" t="n">
        <x:v>239.52095808383234</x:v>
      </x:c>
      <x:c r="Q33" s="22" t="n">
        <x:v>1255.0898203592815</x:v>
      </x:c>
      <x:c r="R33" s="22" t="n">
        <x:v>1255.09</x:v>
      </x:c>
      <x:c r="S33" s="20" t="n">
        <x:v>46058</x:v>
      </x:c>
      <x:c r="T33" s="22" t="n">
        <x:v>0</x:v>
      </x:c>
      <x:c r="U33" t="str">
        <x:v>Ödendi</x:v>
      </x:c>
    </x:row>
    <x:row r="34">
      <x:c r="A34" s="24" t="n">
        <x:v>46082</x:v>
      </x:c>
      <x:c r="B34" s="24" t="n">
        <x:v>46054</x:v>
      </x:c>
      <x:c r="C34" t="str">
        <x:v>B002-R005</x:v>
      </x:c>
      <x:c r="D34" t="n">
        <x:v>5</x:v>
      </x:c>
      <x:c r="E34" t="str">
        <x:v>Selin Kılıç</x:v>
      </x:c>
      <x:c r="F34" s="22" t="n">
        <x:v>164.79041916167665</x:v>
      </x:c>
      <x:c r="G34" s="22" t="n">
        <x:v>88.1437125748503</x:v>
      </x:c>
      <x:c r="H34" s="22" t="n">
        <x:v>201.19760479041918</x:v>
      </x:c>
      <x:c r="I34" s="22" t="n">
        <x:v>229.94011976047906</x:v>
      </x:c>
      <x:c r="J34" s="22" t="n">
        <x:v>0</x:v>
      </x:c>
      <x:c r="K34" s="22" t="n">
        <x:v>402.39520958083835</x:v>
      </x:c>
      <x:c r="L34" s="22" t="n">
        <x:v>0</x:v>
      </x:c>
      <x:c r="M34" s="22" t="n">
        <x:v>0</x:v>
      </x:c>
      <x:c r="N34" s="22" t="n">
        <x:v>0</x:v>
      </x:c>
      <x:c r="O34" s="22" t="n">
        <x:v>0</x:v>
      </x:c>
      <x:c r="P34" s="22" t="n">
        <x:v>239.52095808383234</x:v>
      </x:c>
      <x:c r="Q34" s="22" t="n">
        <x:v>1325.9880239520958</x:v>
      </x:c>
      <x:c r="R34" s="22" t="n">
        <x:v>0</x:v>
      </x:c>
      <x:c r="S34" s="20"/>
      <x:c r="T34" s="22" t="n">
        <x:v>1325.99</x:v>
      </x:c>
      <x:c r="U34" t="str">
        <x:v>Ödenmedi</x:v>
      </x:c>
    </x:row>
    <x:row r="35">
      <x:c r="A35" s="24" t="n">
        <x:v>46113</x:v>
      </x:c>
      <x:c r="B35" s="24" t="n">
        <x:v>46082</x:v>
      </x:c>
      <x:c r="C35" t="str">
        <x:v>B002-R005</x:v>
      </x:c>
      <x:c r="D35" t="n">
        <x:v>5</x:v>
      </x:c>
      <x:c r="E35" t="str">
        <x:v>Selin Kılıç</x:v>
      </x:c>
      <x:c r="F35" s="22" t="n">
        <x:v>151.37724550898204</x:v>
      </x:c>
      <x:c r="G35" s="22" t="n">
        <x:v>85.26946107784431</x:v>
      </x:c>
      <x:c r="H35" s="22" t="n">
        <x:v>201.19760479041918</x:v>
      </x:c>
      <x:c r="I35" s="22" t="n">
        <x:v>0</x:v>
      </x:c>
      <x:c r="J35" s="22" t="n">
        <x:v>0</x:v>
      </x:c>
      <x:c r="K35" s="22" t="n">
        <x:v>0</x:v>
      </x:c>
      <x:c r="L35" s="22" t="n">
        <x:v>287.4251497005988</x:v>
      </x:c>
      <x:c r="M35" s="22" t="n">
        <x:v>0</x:v>
      </x:c>
      <x:c r="N35" s="22" t="n">
        <x:v>364.0718562874252</x:v>
      </x:c>
      <x:c r="O35" s="22" t="n">
        <x:v>0</x:v>
      </x:c>
      <x:c r="P35" s="22" t="n">
        <x:v>239.52095808383234</x:v>
      </x:c>
      <x:c r="Q35" s="22" t="n">
        <x:v>1328.8622754491018</x:v>
      </x:c>
      <x:c r="R35" s="22" t="n">
        <x:v>1328.86</x:v>
      </x:c>
      <x:c r="S35" s="20" t="n">
        <x:v>46121</x:v>
      </x:c>
      <x:c r="T35" s="22" t="n">
        <x:v>0</x:v>
      </x:c>
      <x:c r="U35" t="str">
        <x:v>Ödendi</x:v>
      </x:c>
    </x:row>
    <x:row r="36">
      <x:c r="A36" s="24" t="n">
        <x:v>46143</x:v>
      </x:c>
      <x:c r="B36" s="24" t="n">
        <x:v>46113</x:v>
      </x:c>
      <x:c r="C36" t="str">
        <x:v>B002-R005</x:v>
      </x:c>
      <x:c r="D36" t="n">
        <x:v>5</x:v>
      </x:c>
      <x:c r="E36" t="str">
        <x:v>Selin Kılıç</x:v>
      </x:c>
      <x:c r="F36" s="22" t="n">
        <x:v>161.91616766467067</x:v>
      </x:c>
      <x:c r="G36" s="22" t="n">
        <x:v>87.18562874251498</x:v>
      </x:c>
      <x:c r="H36" s="22" t="n">
        <x:v>210.77844311377245</x:v>
      </x:c>
      <x:c r="I36" s="22" t="n">
        <x:v>0</x:v>
      </x:c>
      <x:c r="J36" s="22" t="n">
        <x:v>594.0119760479042</x:v>
      </x:c>
      <x:c r="K36" s="22" t="n">
        <x:v>0</x:v>
      </x:c>
      <x:c r="L36" s="22" t="n">
        <x:v>0</x:v>
      </x:c>
      <x:c r="M36" s="22" t="n">
        <x:v>249.10179640718565</x:v>
      </x:c>
      <x:c r="N36" s="22" t="n">
        <x:v>0</x:v>
      </x:c>
      <x:c r="O36" s="22" t="n">
        <x:v>0</x:v>
      </x:c>
      <x:c r="P36" s="22" t="n">
        <x:v>239.52095808383234</x:v>
      </x:c>
      <x:c r="Q36" s="22" t="n">
        <x:v>1542.5149700598804</x:v>
      </x:c>
      <x:c r="R36" s="22" t="n">
        <x:v>1542.51</x:v>
      </x:c>
      <x:c r="S36" s="20" t="n">
        <x:v>46151</x:v>
      </x:c>
      <x:c r="T36" s="22" t="n">
        <x:v>0</x:v>
      </x:c>
      <x:c r="U36" t="str">
        <x:v>Ödendi</x:v>
      </x:c>
    </x:row>
    <x:row r="37">
      <x:c r="A37" s="24" t="n">
        <x:v>46174</x:v>
      </x:c>
      <x:c r="B37" s="24" t="n">
        <x:v>46143</x:v>
      </x:c>
      <x:c r="C37" t="str">
        <x:v>B002-R005</x:v>
      </x:c>
      <x:c r="D37" t="n">
        <x:v>5</x:v>
      </x:c>
      <x:c r="E37" t="str">
        <x:v>Selin Kılıç</x:v>
      </x:c>
      <x:c r="F37" s="22" t="n">
        <x:v>173.4131736526946</x:v>
      </x:c>
      <x:c r="G37" s="22" t="n">
        <x:v>93.89221556886228</x:v>
      </x:c>
      <x:c r="H37" s="22" t="n">
        <x:v>210.77844311377245</x:v>
      </x:c>
      <x:c r="I37" s="22" t="n">
        <x:v>344.9101796407186</x:v>
      </x:c>
      <x:c r="J37" s="22" t="n">
        <x:v>0</x:v>
      </x:c>
      <x:c r="K37" s="22" t="n">
        <x:v>0</x:v>
      </x:c>
      <x:c r="L37" s="22" t="n">
        <x:v>287.4251497005988</x:v>
      </x:c>
      <x:c r="M37" s="22" t="n">
        <x:v>0</x:v>
      </x:c>
      <x:c r="N37" s="22" t="n">
        <x:v>0</x:v>
      </x:c>
      <x:c r="O37" s="22" t="n">
        <x:v>0</x:v>
      </x:c>
      <x:c r="P37" s="22" t="n">
        <x:v>239.52095808383234</x:v>
      </x:c>
      <x:c r="Q37" s="22" t="n">
        <x:v>1349.940119760479</x:v>
      </x:c>
      <x:c r="R37" s="22" t="n">
        <x:v>1349.94</x:v>
      </x:c>
      <x:c r="S37" s="20" t="n">
        <x:v>46184</x:v>
      </x:c>
      <x:c r="T37" s="22" t="n">
        <x:v>0</x:v>
      </x:c>
      <x:c r="U37" t="str">
        <x:v>Ödendi</x:v>
      </x:c>
    </x:row>
    <x:row r="38">
      <x:c r="A38" s="24" t="n">
        <x:v>46204</x:v>
      </x:c>
      <x:c r="B38" s="24" t="n">
        <x:v>46174</x:v>
      </x:c>
      <x:c r="C38" t="str">
        <x:v>B002-R005</x:v>
      </x:c>
      <x:c r="D38" t="n">
        <x:v>5</x:v>
      </x:c>
      <x:c r="E38" t="str">
        <x:v>Selin Kılıç</x:v>
      </x:c>
      <x:c r="F38" s="22" t="n">
        <x:v>185.8682634730539</x:v>
      </x:c>
      <x:c r="G38" s="22" t="n">
        <x:v>97.7245508982036</x:v>
      </x:c>
      <x:c r="H38" s="22" t="n">
        <x:v>210.77844311377245</x:v>
      </x:c>
      <x:c r="I38" s="22" t="n">
        <x:v>0</x:v>
      </x:c>
      <x:c r="J38" s="22" t="n">
        <x:v>0</x:v>
      </x:c>
      <x:c r="K38" s="22" t="n">
        <x:v>0</x:v>
      </x:c>
      <x:c r="L38" s="22" t="n">
        <x:v>306.5868263473054</x:v>
      </x:c>
      <x:c r="M38" s="22" t="n">
        <x:v>0</x:v>
      </x:c>
      <x:c r="N38" s="22" t="n">
        <x:v>0</x:v>
      </x:c>
      <x:c r="O38" s="22" t="n">
        <x:v>1676.6467065868264</x:v>
      </x:c>
      <x:c r="P38" s="22" t="n">
        <x:v>239.52095808383234</x:v>
      </x:c>
      <x:c r="Q38" s="22" t="n">
        <x:v>2717.125748502994</x:v>
      </x:c>
      <x:c r="R38" s="22" t="n">
        <x:v>2717.13</x:v>
      </x:c>
      <x:c r="S38" s="20" t="n">
        <x:v>46213</x:v>
      </x:c>
      <x:c r="T38" s="22" t="n">
        <x:v>0</x:v>
      </x:c>
      <x:c r="U38" t="str">
        <x:v>Ödendi</x:v>
      </x:c>
    </x:row>
    <x:row r="39">
      <x:c r="A39" s="24" t="n">
        <x:v>46023</x:v>
      </x:c>
      <x:c r="B39" s="24" t="n">
        <x:v>45992</x:v>
      </x:c>
      <x:c r="C39" t="str">
        <x:v>B002-R006</x:v>
      </x:c>
      <x:c r="D39" t="n">
        <x:v>6</x:v>
      </x:c>
      <x:c r="E39" t="str">
        <x:v>Buse Özdemir</x:v>
      </x:c>
      <x:c r="F39" s="22" t="n">
        <x:v>182.53493013972056</x:v>
      </x:c>
      <x:c r="G39" s="22" t="n">
        <x:v>96.56686626746507</x:v>
      </x:c>
      <x:c r="H39" s="22" t="n">
        <x:v>247.30538922155688</x:v>
      </x:c>
      <x:c r="I39" s="22" t="n">
        <x:v>211.97604790419163</x:v>
      </x:c>
      <x:c r="J39" s="22" t="n">
        <x:v>0</x:v>
      </x:c>
      <x:c r="K39" s="22" t="n">
        <x:v>0</x:v>
      </x:c>
      <x:c r="L39" s="22" t="n">
        <x:v>329.74051896207584</x:v>
      </x:c>
      <x:c r="M39" s="22" t="n">
        <x:v>0</x:v>
      </x:c>
      <x:c r="N39" s="22" t="n">
        <x:v>0</x:v>
      </x:c>
      <x:c r="O39" s="22" t="n">
        <x:v>0</x:v>
      </x:c>
      <x:c r="P39" s="22" t="n">
        <x:v>294.41117764471056</x:v>
      </x:c>
      <x:c r="Q39" s="22" t="n">
        <x:v>1362.5349301397205</x:v>
      </x:c>
      <x:c r="R39" s="22" t="n">
        <x:v>1362.53</x:v>
      </x:c>
      <x:c r="S39" s="20" t="n">
        <x:v>46035</x:v>
      </x:c>
      <x:c r="T39" s="22" t="n">
        <x:v>0</x:v>
      </x:c>
      <x:c r="U39" t="str">
        <x:v>Ödendi</x:v>
      </x:c>
    </x:row>
    <x:row r="40">
      <x:c r="A40" s="24" t="n">
        <x:v>46054</x:v>
      </x:c>
      <x:c r="B40" s="24" t="n">
        <x:v>46023</x:v>
      </x:c>
      <x:c r="C40" t="str">
        <x:v>B002-R006</x:v>
      </x:c>
      <x:c r="D40" t="n">
        <x:v>6</x:v>
      </x:c>
      <x:c r="E40" t="str">
        <x:v>Buse Özdemir</x:v>
      </x:c>
      <x:c r="F40" s="22" t="n">
        <x:v>194.311377245509</x:v>
      </x:c>
      <x:c r="G40" s="22" t="n">
        <x:v>100.0998003992016</x:v>
      </x:c>
      <x:c r="H40" s="22" t="n">
        <x:v>247.30538922155688</x:v>
      </x:c>
      <x:c r="I40" s="22" t="n">
        <x:v>0</x:v>
      </x:c>
      <x:c r="J40" s="22" t="n">
        <x:v>376.8463073852296</x:v>
      </x:c>
      <x:c r="K40" s="22" t="n">
        <x:v>0</x:v>
      </x:c>
      <x:c r="L40" s="22" t="n">
        <x:v>329.74051896207584</x:v>
      </x:c>
      <x:c r="M40" s="22" t="n">
        <x:v>0</x:v>
      </x:c>
      <x:c r="N40" s="22" t="n">
        <x:v>0</x:v>
      </x:c>
      <x:c r="O40" s="22" t="n">
        <x:v>0</x:v>
      </x:c>
      <x:c r="P40" s="22" t="n">
        <x:v>294.41117764471056</x:v>
      </x:c>
      <x:c r="Q40" s="22" t="n">
        <x:v>1542.7145708582834</x:v>
      </x:c>
      <x:c r="R40" s="22" t="n">
        <x:v>1542.71</x:v>
      </x:c>
      <x:c r="S40" s="20" t="n">
        <x:v>46066</x:v>
      </x:c>
      <x:c r="T40" s="22" t="n">
        <x:v>0</x:v>
      </x:c>
      <x:c r="U40" t="str">
        <x:v>Ödendi</x:v>
      </x:c>
    </x:row>
    <x:row r="41">
      <x:c r="A41" s="24" t="n">
        <x:v>46082</x:v>
      </x:c>
      <x:c r="B41" s="24" t="n">
        <x:v>46054</x:v>
      </x:c>
      <x:c r="C41" t="str">
        <x:v>B002-R006</x:v>
      </x:c>
      <x:c r="D41" t="n">
        <x:v>6</x:v>
      </x:c>
      <x:c r="E41" t="str">
        <x:v>Buse Özdemir</x:v>
      </x:c>
      <x:c r="F41" s="22" t="n">
        <x:v>202.5548902195609</x:v>
      </x:c>
      <x:c r="G41" s="22" t="n">
        <x:v>108.3433133732535</x:v>
      </x:c>
      <x:c r="H41" s="22" t="n">
        <x:v>247.30538922155688</x:v>
      </x:c>
      <x:c r="I41" s="22" t="n">
        <x:v>282.63473053892216</x:v>
      </x:c>
      <x:c r="J41" s="22" t="n">
        <x:v>0</x:v>
      </x:c>
      <x:c r="K41" s="22" t="n">
        <x:v>494.61077844311376</x:v>
      </x:c>
      <x:c r="L41" s="22" t="n">
        <x:v>0</x:v>
      </x:c>
      <x:c r="M41" s="22" t="n">
        <x:v>0</x:v>
      </x:c>
      <x:c r="N41" s="22" t="n">
        <x:v>0</x:v>
      </x:c>
      <x:c r="O41" s="22" t="n">
        <x:v>0</x:v>
      </x:c>
      <x:c r="P41" s="22" t="n">
        <x:v>294.41117764471056</x:v>
      </x:c>
      <x:c r="Q41" s="22" t="n">
        <x:v>1629.8602794411177</x:v>
      </x:c>
      <x:c r="R41" s="22" t="n">
        <x:v>0</x:v>
      </x:c>
      <x:c r="S41" s="20"/>
      <x:c r="T41" s="22" t="n">
        <x:v>1629.86</x:v>
      </x:c>
      <x:c r="U41" t="str">
        <x:v>Ödenmedi</x:v>
      </x:c>
    </x:row>
    <x:row r="42">
      <x:c r="A42" s="24" t="n">
        <x:v>46113</x:v>
      </x:c>
      <x:c r="B42" s="24" t="n">
        <x:v>46082</x:v>
      </x:c>
      <x:c r="C42" t="str">
        <x:v>B002-R006</x:v>
      </x:c>
      <x:c r="D42" t="n">
        <x:v>6</x:v>
      </x:c>
      <x:c r="E42" t="str">
        <x:v>Buse Özdemir</x:v>
      </x:c>
      <x:c r="F42" s="22" t="n">
        <x:v>186.0678642714571</x:v>
      </x:c>
      <x:c r="G42" s="22" t="n">
        <x:v>104.81037924151697</x:v>
      </x:c>
      <x:c r="H42" s="22" t="n">
        <x:v>247.30538922155688</x:v>
      </x:c>
      <x:c r="I42" s="22" t="n">
        <x:v>0</x:v>
      </x:c>
      <x:c r="J42" s="22" t="n">
        <x:v>0</x:v>
      </x:c>
      <x:c r="K42" s="22" t="n">
        <x:v>0</x:v>
      </x:c>
      <x:c r="L42" s="22" t="n">
        <x:v>353.2934131736527</x:v>
      </x:c>
      <x:c r="M42" s="22" t="n">
        <x:v>0</x:v>
      </x:c>
      <x:c r="N42" s="22" t="n">
        <x:v>447.5049900199601</x:v>
      </x:c>
      <x:c r="O42" s="22" t="n">
        <x:v>0</x:v>
      </x:c>
      <x:c r="P42" s="22" t="n">
        <x:v>294.41117764471056</x:v>
      </x:c>
      <x:c r="Q42" s="22" t="n">
        <x:v>1633.3932135728544</x:v>
      </x:c>
      <x:c r="R42" s="22" t="n">
        <x:v>1633.39</x:v>
      </x:c>
      <x:c r="S42" s="20" t="n">
        <x:v>46124</x:v>
      </x:c>
      <x:c r="T42" s="22" t="n">
        <x:v>0</x:v>
      </x:c>
      <x:c r="U42" t="str">
        <x:v>Ödendi</x:v>
      </x:c>
    </x:row>
    <x:row r="43">
      <x:c r="A43" s="24" t="n">
        <x:v>46143</x:v>
      </x:c>
      <x:c r="B43" s="24" t="n">
        <x:v>46113</x:v>
      </x:c>
      <x:c r="C43" t="str">
        <x:v>B002-R006</x:v>
      </x:c>
      <x:c r="D43" t="n">
        <x:v>6</x:v>
      </x:c>
      <x:c r="E43" t="str">
        <x:v>Buse Özdemir</x:v>
      </x:c>
      <x:c r="F43" s="22" t="n">
        <x:v>199.02195608782435</x:v>
      </x:c>
      <x:c r="G43" s="22" t="n">
        <x:v>107.16566866267465</x:v>
      </x:c>
      <x:c r="H43" s="22" t="n">
        <x:v>259.08183632734534</x:v>
      </x:c>
      <x:c r="I43" s="22" t="n">
        <x:v>0</x:v>
      </x:c>
      <x:c r="J43" s="22" t="n">
        <x:v>730.1397205588822</x:v>
      </x:c>
      <x:c r="K43" s="22" t="n">
        <x:v>0</x:v>
      </x:c>
      <x:c r="L43" s="22" t="n">
        <x:v>0</x:v>
      </x:c>
      <x:c r="M43" s="22" t="n">
        <x:v>306.187624750499</x:v>
      </x:c>
      <x:c r="N43" s="22" t="n">
        <x:v>0</x:v>
      </x:c>
      <x:c r="O43" s="22" t="n">
        <x:v>0</x:v>
      </x:c>
      <x:c r="P43" s="22" t="n">
        <x:v>294.41117764471056</x:v>
      </x:c>
      <x:c r="Q43" s="22" t="n">
        <x:v>1896.007984031936</x:v>
      </x:c>
      <x:c r="R43" s="22" t="n">
        <x:v>1896.01</x:v>
      </x:c>
      <x:c r="S43" s="20" t="n">
        <x:v>46152</x:v>
      </x:c>
      <x:c r="T43" s="22" t="n">
        <x:v>0</x:v>
      </x:c>
      <x:c r="U43" t="str">
        <x:v>Ödendi</x:v>
      </x:c>
    </x:row>
    <x:row r="44">
      <x:c r="A44" s="24" t="n">
        <x:v>46174</x:v>
      </x:c>
      <x:c r="B44" s="24" t="n">
        <x:v>46143</x:v>
      </x:c>
      <x:c r="C44" t="str">
        <x:v>B002-R006</x:v>
      </x:c>
      <x:c r="D44" t="n">
        <x:v>6</x:v>
      </x:c>
      <x:c r="E44" t="str">
        <x:v>Buse Özdemir</x:v>
      </x:c>
      <x:c r="F44" s="22" t="n">
        <x:v>213.15369261477048</x:v>
      </x:c>
      <x:c r="G44" s="22" t="n">
        <x:v>115.40918163672654</x:v>
      </x:c>
      <x:c r="H44" s="22" t="n">
        <x:v>259.08183632734534</x:v>
      </x:c>
      <x:c r="I44" s="22" t="n">
        <x:v>423.95209580838326</x:v>
      </x:c>
      <x:c r="J44" s="22" t="n">
        <x:v>0</x:v>
      </x:c>
      <x:c r="K44" s="22" t="n">
        <x:v>0</x:v>
      </x:c>
      <x:c r="L44" s="22" t="n">
        <x:v>353.2934131736527</x:v>
      </x:c>
      <x:c r="M44" s="22" t="n">
        <x:v>0</x:v>
      </x:c>
      <x:c r="N44" s="22" t="n">
        <x:v>0</x:v>
      </x:c>
      <x:c r="O44" s="22" t="n">
        <x:v>0</x:v>
      </x:c>
      <x:c r="P44" s="22" t="n">
        <x:v>294.41117764471056</x:v>
      </x:c>
      <x:c r="Q44" s="22" t="n">
        <x:v>1659.301397205589</x:v>
      </x:c>
      <x:c r="R44" s="22" t="n">
        <x:v>1659.3</x:v>
      </x:c>
      <x:c r="S44" s="20" t="n">
        <x:v>46177</x:v>
      </x:c>
      <x:c r="T44" s="22" t="n">
        <x:v>0</x:v>
      </x:c>
      <x:c r="U44" t="str">
        <x:v>Ödendi</x:v>
      </x:c>
    </x:row>
    <x:row r="45">
      <x:c r="A45" s="24" t="n">
        <x:v>46204</x:v>
      </x:c>
      <x:c r="B45" s="24" t="n">
        <x:v>46174</x:v>
      </x:c>
      <x:c r="C45" t="str">
        <x:v>B002-R006</x:v>
      </x:c>
      <x:c r="D45" t="n">
        <x:v>6</x:v>
      </x:c>
      <x:c r="E45" t="str">
        <x:v>Buse Özdemir</x:v>
      </x:c>
      <x:c r="F45" s="22" t="n">
        <x:v>228.46307385229542</x:v>
      </x:c>
      <x:c r="G45" s="22" t="n">
        <x:v>120.11976047904191</x:v>
      </x:c>
      <x:c r="H45" s="22" t="n">
        <x:v>259.08183632734534</x:v>
      </x:c>
      <x:c r="I45" s="22" t="n">
        <x:v>0</x:v>
      </x:c>
      <x:c r="J45" s="22" t="n">
        <x:v>0</x:v>
      </x:c>
      <x:c r="K45" s="22" t="n">
        <x:v>0</x:v>
      </x:c>
      <x:c r="L45" s="22" t="n">
        <x:v>376.8463073852296</x:v>
      </x:c>
      <x:c r="M45" s="22" t="n">
        <x:v>0</x:v>
      </x:c>
      <x:c r="N45" s="22" t="n">
        <x:v>0</x:v>
      </x:c>
      <x:c r="O45" s="22" t="n">
        <x:v>2060.878243512974</x:v>
      </x:c>
      <x:c r="P45" s="22" t="n">
        <x:v>294.41117764471056</x:v>
      </x:c>
      <x:c r="Q45" s="22" t="n">
        <x:v>3339.800399201597</x:v>
      </x:c>
      <x:c r="R45" s="22" t="n">
        <x:v>3339.8</x:v>
      </x:c>
      <x:c r="S45" s="20" t="n">
        <x:v>46216</x:v>
      </x:c>
      <x:c r="T45" s="22" t="n">
        <x:v>0</x:v>
      </x:c>
      <x:c r="U45" t="str">
        <x:v>Ödendi</x:v>
      </x:c>
    </x:row>
    <x:row r="46">
      <x:c r="A46" s="24" t="n">
        <x:v>46023</x:v>
      </x:c>
      <x:c r="B46" s="24" t="n">
        <x:v>45992</x:v>
      </x:c>
      <x:c r="C46" t="str">
        <x:v>B002-R007</x:v>
      </x:c>
      <x:c r="D46" t="n">
        <x:v>7</x:v>
      </x:c>
      <x:c r="E46" t="str">
        <x:v>Deniz Polat</x:v>
      </x:c>
      <x:c r="F46" s="22" t="n">
        <x:v>111.37724550898203</x:v>
      </x:c>
      <x:c r="G46" s="22" t="n">
        <x:v>58.92215568862275</x:v>
      </x:c>
      <x:c r="H46" s="22" t="n">
        <x:v>150.89820359281435</x:v>
      </x:c>
      <x:c r="I46" s="22" t="n">
        <x:v>129.34131736526945</x:v>
      </x:c>
      <x:c r="J46" s="22" t="n">
        <x:v>0</x:v>
      </x:c>
      <x:c r="K46" s="22" t="n">
        <x:v>0</x:v>
      </x:c>
      <x:c r="L46" s="22" t="n">
        <x:v>201.19760479041915</x:v>
      </x:c>
      <x:c r="M46" s="22" t="n">
        <x:v>0</x:v>
      </x:c>
      <x:c r="N46" s="22" t="n">
        <x:v>0</x:v>
      </x:c>
      <x:c r="O46" s="22" t="n">
        <x:v>0</x:v>
      </x:c>
      <x:c r="P46" s="22" t="n">
        <x:v>179.64071856287424</x:v>
      </x:c>
      <x:c r="Q46" s="22" t="n">
        <x:v>831.377245508982</x:v>
      </x:c>
      <x:c r="R46" s="22" t="n">
        <x:v>831.38</x:v>
      </x:c>
      <x:c r="S46" s="20" t="n">
        <x:v>46030</x:v>
      </x:c>
      <x:c r="T46" s="22" t="n">
        <x:v>0</x:v>
      </x:c>
      <x:c r="U46" t="str">
        <x:v>Ödendi</x:v>
      </x:c>
    </x:row>
    <x:row r="47">
      <x:c r="A47" s="24" t="n">
        <x:v>46054</x:v>
      </x:c>
      <x:c r="B47" s="24" t="n">
        <x:v>46023</x:v>
      </x:c>
      <x:c r="C47" t="str">
        <x:v>B002-R007</x:v>
      </x:c>
      <x:c r="D47" t="n">
        <x:v>7</x:v>
      </x:c>
      <x:c r="E47" t="str">
        <x:v>Deniz Polat</x:v>
      </x:c>
      <x:c r="F47" s="22" t="n">
        <x:v>118.562874251497</x:v>
      </x:c>
      <x:c r="G47" s="22" t="n">
        <x:v>61.07784431137724</x:v>
      </x:c>
      <x:c r="H47" s="22" t="n">
        <x:v>150.89820359281435</x:v>
      </x:c>
      <x:c r="I47" s="22" t="n">
        <x:v>0</x:v>
      </x:c>
      <x:c r="J47" s="22" t="n">
        <x:v>229.94011976047904</x:v>
      </x:c>
      <x:c r="K47" s="22" t="n">
        <x:v>0</x:v>
      </x:c>
      <x:c r="L47" s="22" t="n">
        <x:v>201.19760479041915</x:v>
      </x:c>
      <x:c r="M47" s="22" t="n">
        <x:v>0</x:v>
      </x:c>
      <x:c r="N47" s="22" t="n">
        <x:v>0</x:v>
      </x:c>
      <x:c r="O47" s="22" t="n">
        <x:v>0</x:v>
      </x:c>
      <x:c r="P47" s="22" t="n">
        <x:v>179.64071856287424</x:v>
      </x:c>
      <x:c r="Q47" s="22" t="n">
        <x:v>941.317365269461</x:v>
      </x:c>
      <x:c r="R47" s="22" t="n">
        <x:v>941.32</x:v>
      </x:c>
      <x:c r="S47" s="20" t="n">
        <x:v>46061</x:v>
      </x:c>
      <x:c r="T47" s="22" t="n">
        <x:v>0</x:v>
      </x:c>
      <x:c r="U47" t="str">
        <x:v>Ödendi</x:v>
      </x:c>
    </x:row>
    <x:row r="48">
      <x:c r="A48" s="24" t="n">
        <x:v>46082</x:v>
      </x:c>
      <x:c r="B48" s="24" t="n">
        <x:v>46054</x:v>
      </x:c>
      <x:c r="C48" t="str">
        <x:v>B002-R007</x:v>
      </x:c>
      <x:c r="D48" t="n">
        <x:v>7</x:v>
      </x:c>
      <x:c r="E48" t="str">
        <x:v>Deniz Polat</x:v>
      </x:c>
      <x:c r="F48" s="22" t="n">
        <x:v>123.59281437125748</x:v>
      </x:c>
      <x:c r="G48" s="22" t="n">
        <x:v>66.10778443113772</x:v>
      </x:c>
      <x:c r="H48" s="22" t="n">
        <x:v>150.89820359281435</x:v>
      </x:c>
      <x:c r="I48" s="22" t="n">
        <x:v>172.45508982035926</x:v>
      </x:c>
      <x:c r="J48" s="22" t="n">
        <x:v>0</x:v>
      </x:c>
      <x:c r="K48" s="22" t="n">
        <x:v>301.7964071856287</x:v>
      </x:c>
      <x:c r="L48" s="22" t="n">
        <x:v>0</x:v>
      </x:c>
      <x:c r="M48" s="22" t="n">
        <x:v>0</x:v>
      </x:c>
      <x:c r="N48" s="22" t="n">
        <x:v>0</x:v>
      </x:c>
      <x:c r="O48" s="22" t="n">
        <x:v>0</x:v>
      </x:c>
      <x:c r="P48" s="22" t="n">
        <x:v>179.64071856287424</x:v>
      </x:c>
      <x:c r="Q48" s="22" t="n">
        <x:v>994.4910179640717</x:v>
      </x:c>
      <x:c r="R48" s="22" t="n">
        <x:v>994.49</x:v>
      </x:c>
      <x:c r="S48" s="20" t="n">
        <x:v>46091</x:v>
      </x:c>
      <x:c r="T48" s="22" t="n">
        <x:v>0</x:v>
      </x:c>
      <x:c r="U48" t="str">
        <x:v>Ödendi</x:v>
      </x:c>
    </x:row>
    <x:row r="49">
      <x:c r="A49" s="24" t="n">
        <x:v>46113</x:v>
      </x:c>
      <x:c r="B49" s="24" t="n">
        <x:v>46082</x:v>
      </x:c>
      <x:c r="C49" t="str">
        <x:v>B002-R007</x:v>
      </x:c>
      <x:c r="D49" t="n">
        <x:v>7</x:v>
      </x:c>
      <x:c r="E49" t="str">
        <x:v>Deniz Polat</x:v>
      </x:c>
      <x:c r="F49" s="22" t="n">
        <x:v>113.53293413173652</x:v>
      </x:c>
      <x:c r="G49" s="22" t="n">
        <x:v>63.952095808383234</x:v>
      </x:c>
      <x:c r="H49" s="22" t="n">
        <x:v>150.89820359281435</x:v>
      </x:c>
      <x:c r="I49" s="22" t="n">
        <x:v>0</x:v>
      </x:c>
      <x:c r="J49" s="22" t="n">
        <x:v>0</x:v>
      </x:c>
      <x:c r="K49" s="22" t="n">
        <x:v>0</x:v>
      </x:c>
      <x:c r="L49" s="22" t="n">
        <x:v>215.5688622754491</x:v>
      </x:c>
      <x:c r="M49" s="22" t="n">
        <x:v>0</x:v>
      </x:c>
      <x:c r="N49" s="22" t="n">
        <x:v>273.05389221556885</x:v>
      </x:c>
      <x:c r="O49" s="22" t="n">
        <x:v>0</x:v>
      </x:c>
      <x:c r="P49" s="22" t="n">
        <x:v>179.64071856287424</x:v>
      </x:c>
      <x:c r="Q49" s="22" t="n">
        <x:v>996.6467065868263</x:v>
      </x:c>
      <x:c r="R49" s="22" t="n">
        <x:v>996.65</x:v>
      </x:c>
      <x:c r="S49" s="20" t="n">
        <x:v>46119</x:v>
      </x:c>
      <x:c r="T49" s="22" t="n">
        <x:v>0</x:v>
      </x:c>
      <x:c r="U49" t="str">
        <x:v>Ödendi</x:v>
      </x:c>
    </x:row>
    <x:row r="50">
      <x:c r="A50" s="24" t="n">
        <x:v>46143</x:v>
      </x:c>
      <x:c r="B50" s="24" t="n">
        <x:v>46113</x:v>
      </x:c>
      <x:c r="C50" t="str">
        <x:v>B002-R007</x:v>
      </x:c>
      <x:c r="D50" t="n">
        <x:v>7</x:v>
      </x:c>
      <x:c r="E50" t="str">
        <x:v>Deniz Polat</x:v>
      </x:c>
      <x:c r="F50" s="22" t="n">
        <x:v>121.437125748503</x:v>
      </x:c>
      <x:c r="G50" s="22" t="n">
        <x:v>65.38922155688623</x:v>
      </x:c>
      <x:c r="H50" s="22" t="n">
        <x:v>158.08383233532933</x:v>
      </x:c>
      <x:c r="I50" s="22" t="n">
        <x:v>0</x:v>
      </x:c>
      <x:c r="J50" s="22" t="n">
        <x:v>445.5089820359281</x:v>
      </x:c>
      <x:c r="K50" s="22" t="n">
        <x:v>0</x:v>
      </x:c>
      <x:c r="L50" s="22" t="n">
        <x:v>0</x:v>
      </x:c>
      <x:c r="M50" s="22" t="n">
        <x:v>186.82634730538922</x:v>
      </x:c>
      <x:c r="N50" s="22" t="n">
        <x:v>0</x:v>
      </x:c>
      <x:c r="O50" s="22" t="n">
        <x:v>0</x:v>
      </x:c>
      <x:c r="P50" s="22" t="n">
        <x:v>179.64071856287424</x:v>
      </x:c>
      <x:c r="Q50" s="22" t="n">
        <x:v>1156.88622754491</x:v>
      </x:c>
      <x:c r="R50" s="22" t="n">
        <x:v>578.44</x:v>
      </x:c>
      <x:c r="S50" s="20" t="n">
        <x:v>46157</x:v>
      </x:c>
      <x:c r="T50" s="22" t="n">
        <x:v>578.45</x:v>
      </x:c>
      <x:c r="U50" t="str">
        <x:v>Kısmi Ödeme</x:v>
      </x:c>
    </x:row>
    <x:row r="51">
      <x:c r="A51" s="24" t="n">
        <x:v>46174</x:v>
      </x:c>
      <x:c r="B51" s="24" t="n">
        <x:v>46143</x:v>
      </x:c>
      <x:c r="C51" t="str">
        <x:v>B002-R007</x:v>
      </x:c>
      <x:c r="D51" t="n">
        <x:v>7</x:v>
      </x:c>
      <x:c r="E51" t="str">
        <x:v>Deniz Polat</x:v>
      </x:c>
      <x:c r="F51" s="22" t="n">
        <x:v>130.05988023952096</x:v>
      </x:c>
      <x:c r="G51" s="22" t="n">
        <x:v>70.41916167664671</x:v>
      </x:c>
      <x:c r="H51" s="22" t="n">
        <x:v>158.08383233532933</x:v>
      </x:c>
      <x:c r="I51" s="22" t="n">
        <x:v>258.6826347305389</x:v>
      </x:c>
      <x:c r="J51" s="22" t="n">
        <x:v>0</x:v>
      </x:c>
      <x:c r="K51" s="22" t="n">
        <x:v>0</x:v>
      </x:c>
      <x:c r="L51" s="22" t="n">
        <x:v>215.5688622754491</x:v>
      </x:c>
      <x:c r="M51" s="22" t="n">
        <x:v>0</x:v>
      </x:c>
      <x:c r="N51" s="22" t="n">
        <x:v>0</x:v>
      </x:c>
      <x:c r="O51" s="22" t="n">
        <x:v>0</x:v>
      </x:c>
      <x:c r="P51" s="22" t="n">
        <x:v>179.64071856287424</x:v>
      </x:c>
      <x:c r="Q51" s="22" t="n">
        <x:v>1012.4550898203593</x:v>
      </x:c>
      <x:c r="R51" s="22" t="n">
        <x:v>1012.46</x:v>
      </x:c>
      <x:c r="S51" s="20" t="n">
        <x:v>46183</x:v>
      </x:c>
      <x:c r="T51" s="22" t="n">
        <x:v>0</x:v>
      </x:c>
      <x:c r="U51" t="str">
        <x:v>Ödendi</x:v>
      </x:c>
    </x:row>
    <x:row r="52">
      <x:c r="A52" s="24" t="n">
        <x:v>46204</x:v>
      </x:c>
      <x:c r="B52" s="24" t="n">
        <x:v>46174</x:v>
      </x:c>
      <x:c r="C52" t="str">
        <x:v>B002-R007</x:v>
      </x:c>
      <x:c r="D52" t="n">
        <x:v>7</x:v>
      </x:c>
      <x:c r="E52" t="str">
        <x:v>Deniz Polat</x:v>
      </x:c>
      <x:c r="F52" s="22" t="n">
        <x:v>139.4011976047904</x:v>
      </x:c>
      <x:c r="G52" s="22" t="n">
        <x:v>73.2934131736527</x:v>
      </x:c>
      <x:c r="H52" s="22" t="n">
        <x:v>158.08383233532933</x:v>
      </x:c>
      <x:c r="I52" s="22" t="n">
        <x:v>0</x:v>
      </x:c>
      <x:c r="J52" s="22" t="n">
        <x:v>0</x:v>
      </x:c>
      <x:c r="K52" s="22" t="n">
        <x:v>0</x:v>
      </x:c>
      <x:c r="L52" s="22" t="n">
        <x:v>229.94011976047904</x:v>
      </x:c>
      <x:c r="M52" s="22" t="n">
        <x:v>0</x:v>
      </x:c>
      <x:c r="N52" s="22" t="n">
        <x:v>0</x:v>
      </x:c>
      <x:c r="O52" s="22" t="n">
        <x:v>1257.4850299401196</x:v>
      </x:c>
      <x:c r="P52" s="22" t="n">
        <x:v>179.64071856287424</x:v>
      </x:c>
      <x:c r="Q52" s="22" t="n">
        <x:v>2037.8443113772453</x:v>
      </x:c>
      <x:c r="R52" s="22" t="n">
        <x:v>0</x:v>
      </x:c>
      <x:c r="S52" s="20"/>
      <x:c r="T52" s="22" t="n">
        <x:v>2037.84</x:v>
      </x:c>
      <x:c r="U52" t="str">
        <x:v>Ödenmedi</x:v>
      </x:c>
    </x:row>
    <x:row r="53">
      <x:c r="A53" s="24" t="n">
        <x:v>46023</x:v>
      </x:c>
      <x:c r="B53" s="24" t="n">
        <x:v>45992</x:v>
      </x:c>
      <x:c r="C53" t="str">
        <x:v>B002-R008</x:v>
      </x:c>
      <x:c r="D53" t="n">
        <x:v>8</x:v>
      </x:c>
      <x:c r="E53" t="str">
        <x:v>Derya Koç</x:v>
      </x:c>
      <x:c r="F53" s="22" t="n">
        <x:v>244.4111776447106</x:v>
      </x:c>
      <x:c r="G53" s="22" t="n">
        <x:v>129.3013972055888</x:v>
      </x:c>
      <x:c r="H53" s="22" t="n">
        <x:v>331.1377245508982</x:v>
      </x:c>
      <x:c r="I53" s="22" t="n">
        <x:v>283.83233532934133</x:v>
      </x:c>
      <x:c r="J53" s="22" t="n">
        <x:v>0</x:v>
      </x:c>
      <x:c r="K53" s="22" t="n">
        <x:v>0</x:v>
      </x:c>
      <x:c r="L53" s="22" t="n">
        <x:v>441.5169660678643</x:v>
      </x:c>
      <x:c r="M53" s="22" t="n">
        <x:v>0</x:v>
      </x:c>
      <x:c r="N53" s="22" t="n">
        <x:v>0</x:v>
      </x:c>
      <x:c r="O53" s="22" t="n">
        <x:v>0</x:v>
      </x:c>
      <x:c r="P53" s="22" t="n">
        <x:v>394.21157684630737</x:v>
      </x:c>
      <x:c r="Q53" s="22" t="n">
        <x:v>1824.4111776447107</x:v>
      </x:c>
      <x:c r="R53" s="22" t="n">
        <x:v>1824.41</x:v>
      </x:c>
      <x:c r="S53" s="20" t="n">
        <x:v>46029</x:v>
      </x:c>
      <x:c r="T53" s="22" t="n">
        <x:v>0</x:v>
      </x:c>
      <x:c r="U53" t="str">
        <x:v>Ödendi</x:v>
      </x:c>
    </x:row>
    <x:row r="54">
      <x:c r="A54" s="24" t="n">
        <x:v>46054</x:v>
      </x:c>
      <x:c r="B54" s="24" t="n">
        <x:v>46023</x:v>
      </x:c>
      <x:c r="C54" t="str">
        <x:v>B002-R008</x:v>
      </x:c>
      <x:c r="D54" t="n">
        <x:v>8</x:v>
      </x:c>
      <x:c r="E54" t="str">
        <x:v>Derya Koç</x:v>
      </x:c>
      <x:c r="F54" s="22" t="n">
        <x:v>260.1796407185629</x:v>
      </x:c>
      <x:c r="G54" s="22" t="n">
        <x:v>134.0319361277445</x:v>
      </x:c>
      <x:c r="H54" s="22" t="n">
        <x:v>331.1377245508982</x:v>
      </x:c>
      <x:c r="I54" s="22" t="n">
        <x:v>0</x:v>
      </x:c>
      <x:c r="J54" s="22" t="n">
        <x:v>504.59081836327346</x:v>
      </x:c>
      <x:c r="K54" s="22" t="n">
        <x:v>0</x:v>
      </x:c>
      <x:c r="L54" s="22" t="n">
        <x:v>441.5169660678643</x:v>
      </x:c>
      <x:c r="M54" s="22" t="n">
        <x:v>0</x:v>
      </x:c>
      <x:c r="N54" s="22" t="n">
        <x:v>0</x:v>
      </x:c>
      <x:c r="O54" s="22" t="n">
        <x:v>0</x:v>
      </x:c>
      <x:c r="P54" s="22" t="n">
        <x:v>394.21157684630737</x:v>
      </x:c>
      <x:c r="Q54" s="22" t="n">
        <x:v>2065.668662674651</x:v>
      </x:c>
      <x:c r="R54" s="22" t="n">
        <x:v>2065.67</x:v>
      </x:c>
      <x:c r="S54" s="20" t="n">
        <x:v>46066</x:v>
      </x:c>
      <x:c r="T54" s="22" t="n">
        <x:v>0</x:v>
      </x:c>
      <x:c r="U54" t="str">
        <x:v>Ödendi</x:v>
      </x:c>
    </x:row>
    <x:row r="55">
      <x:c r="A55" s="24" t="n">
        <x:v>46082</x:v>
      </x:c>
      <x:c r="B55" s="24" t="n">
        <x:v>46054</x:v>
      </x:c>
      <x:c r="C55" t="str">
        <x:v>B002-R008</x:v>
      </x:c>
      <x:c r="D55" t="n">
        <x:v>8</x:v>
      </x:c>
      <x:c r="E55" t="str">
        <x:v>Derya Koç</x:v>
      </x:c>
      <x:c r="F55" s="22" t="n">
        <x:v>271.2175648702595</x:v>
      </x:c>
      <x:c r="G55" s="22" t="n">
        <x:v>145.06986027944112</x:v>
      </x:c>
      <x:c r="H55" s="22" t="n">
        <x:v>331.1377245508982</x:v>
      </x:c>
      <x:c r="I55" s="22" t="n">
        <x:v>378.4431137724551</x:v>
      </x:c>
      <x:c r="J55" s="22" t="n">
        <x:v>0</x:v>
      </x:c>
      <x:c r="K55" s="22" t="n">
        <x:v>662.2754491017964</x:v>
      </x:c>
      <x:c r="L55" s="22" t="n">
        <x:v>0</x:v>
      </x:c>
      <x:c r="M55" s="22" t="n">
        <x:v>0</x:v>
      </x:c>
      <x:c r="N55" s="22" t="n">
        <x:v>0</x:v>
      </x:c>
      <x:c r="O55" s="22" t="n">
        <x:v>0</x:v>
      </x:c>
      <x:c r="P55" s="22" t="n">
        <x:v>394.21157684630737</x:v>
      </x:c>
      <x:c r="Q55" s="22" t="n">
        <x:v>2182.3552894211575</x:v>
      </x:c>
      <x:c r="R55" s="22" t="n">
        <x:v>2182.36</x:v>
      </x:c>
      <x:c r="S55" s="20" t="n">
        <x:v>46089</x:v>
      </x:c>
      <x:c r="T55" s="22" t="n">
        <x:v>0</x:v>
      </x:c>
      <x:c r="U55" t="str">
        <x:v>Ödendi</x:v>
      </x:c>
    </x:row>
    <x:row r="56">
      <x:c r="A56" s="24" t="n">
        <x:v>46113</x:v>
      </x:c>
      <x:c r="B56" s="24" t="n">
        <x:v>46082</x:v>
      </x:c>
      <x:c r="C56" t="str">
        <x:v>B002-R008</x:v>
      </x:c>
      <x:c r="D56" t="n">
        <x:v>8</x:v>
      </x:c>
      <x:c r="E56" t="str">
        <x:v>Derya Koç</x:v>
      </x:c>
      <x:c r="F56" s="22" t="n">
        <x:v>249.14171656686628</x:v>
      </x:c>
      <x:c r="G56" s="22" t="n">
        <x:v>140.33932135728543</x:v>
      </x:c>
      <x:c r="H56" s="22" t="n">
        <x:v>331.1377245508982</x:v>
      </x:c>
      <x:c r="I56" s="22" t="n">
        <x:v>0</x:v>
      </x:c>
      <x:c r="J56" s="22" t="n">
        <x:v>0</x:v>
      </x:c>
      <x:c r="K56" s="22" t="n">
        <x:v>0</x:v>
      </x:c>
      <x:c r="L56" s="22" t="n">
        <x:v>473.05389221556885</x:v>
      </x:c>
      <x:c r="M56" s="22" t="n">
        <x:v>0</x:v>
      </x:c>
      <x:c r="N56" s="22" t="n">
        <x:v>599.2015968063872</x:v>
      </x:c>
      <x:c r="O56" s="22" t="n">
        <x:v>0</x:v>
      </x:c>
      <x:c r="P56" s="22" t="n">
        <x:v>394.21157684630737</x:v>
      </x:c>
      <x:c r="Q56" s="22" t="n">
        <x:v>2187.0858283433136</x:v>
      </x:c>
      <x:c r="R56" s="22" t="n">
        <x:v>2187.09</x:v>
      </x:c>
      <x:c r="S56" s="20" t="n">
        <x:v>46122</x:v>
      </x:c>
      <x:c r="T56" s="22" t="n">
        <x:v>0</x:v>
      </x:c>
      <x:c r="U56" t="str">
        <x:v>Ödendi</x:v>
      </x:c>
    </x:row>
    <x:row r="57">
      <x:c r="A57" s="24" t="n">
        <x:v>46143</x:v>
      </x:c>
      <x:c r="B57" s="24" t="n">
        <x:v>46113</x:v>
      </x:c>
      <x:c r="C57" t="str">
        <x:v>B002-R008</x:v>
      </x:c>
      <x:c r="D57" t="n">
        <x:v>8</x:v>
      </x:c>
      <x:c r="E57" t="str">
        <x:v>Derya Koç</x:v>
      </x:c>
      <x:c r="F57" s="22" t="n">
        <x:v>266.4870259481038</x:v>
      </x:c>
      <x:c r="G57" s="22" t="n">
        <x:v>143.49301397205588</x:v>
      </x:c>
      <x:c r="H57" s="22" t="n">
        <x:v>346.9061876247505</x:v>
      </x:c>
      <x:c r="I57" s="22" t="n">
        <x:v>0</x:v>
      </x:c>
      <x:c r="J57" s="22" t="n">
        <x:v>977.6447105788424</x:v>
      </x:c>
      <x:c r="K57" s="22" t="n">
        <x:v>0</x:v>
      </x:c>
      <x:c r="L57" s="22" t="n">
        <x:v>0</x:v>
      </x:c>
      <x:c r="M57" s="22" t="n">
        <x:v>409.9800399201597</x:v>
      </x:c>
      <x:c r="N57" s="22" t="n">
        <x:v>0</x:v>
      </x:c>
      <x:c r="O57" s="22" t="n">
        <x:v>0</x:v>
      </x:c>
      <x:c r="P57" s="22" t="n">
        <x:v>394.21157684630737</x:v>
      </x:c>
      <x:c r="Q57" s="22" t="n">
        <x:v>2538.7225548902197</x:v>
      </x:c>
      <x:c r="R57" s="22" t="n">
        <x:v>2538.72</x:v>
      </x:c>
      <x:c r="S57" s="20" t="n">
        <x:v>46150</x:v>
      </x:c>
      <x:c r="T57" s="22" t="n">
        <x:v>0</x:v>
      </x:c>
      <x:c r="U57" t="str">
        <x:v>Ödendi</x:v>
      </x:c>
    </x:row>
    <x:row r="58">
      <x:c r="A58" s="24" t="n">
        <x:v>46174</x:v>
      </x:c>
      <x:c r="B58" s="24" t="n">
        <x:v>46143</x:v>
      </x:c>
      <x:c r="C58" t="str">
        <x:v>B002-R008</x:v>
      </x:c>
      <x:c r="D58" t="n">
        <x:v>8</x:v>
      </x:c>
      <x:c r="E58" t="str">
        <x:v>Derya Koç</x:v>
      </x:c>
      <x:c r="F58" s="22" t="n">
        <x:v>285.40918163672654</x:v>
      </x:c>
      <x:c r="G58" s="22" t="n">
        <x:v>154.5309381237525</x:v>
      </x:c>
      <x:c r="H58" s="22" t="n">
        <x:v>346.9061876247505</x:v>
      </x:c>
      <x:c r="I58" s="22" t="n">
        <x:v>567.6646706586827</x:v>
      </x:c>
      <x:c r="J58" s="22" t="n">
        <x:v>0</x:v>
      </x:c>
      <x:c r="K58" s="22" t="n">
        <x:v>0</x:v>
      </x:c>
      <x:c r="L58" s="22" t="n">
        <x:v>473.05389221556885</x:v>
      </x:c>
      <x:c r="M58" s="22" t="n">
        <x:v>0</x:v>
      </x:c>
      <x:c r="N58" s="22" t="n">
        <x:v>0</x:v>
      </x:c>
      <x:c r="O58" s="22" t="n">
        <x:v>0</x:v>
      </x:c>
      <x:c r="P58" s="22" t="n">
        <x:v>394.21157684630737</x:v>
      </x:c>
      <x:c r="Q58" s="22" t="n">
        <x:v>2221.7764471057885</x:v>
      </x:c>
      <x:c r="R58" s="22" t="n">
        <x:v>2221.78</x:v>
      </x:c>
      <x:c r="S58" s="20" t="n">
        <x:v>46183</x:v>
      </x:c>
      <x:c r="T58" s="22" t="n">
        <x:v>0</x:v>
      </x:c>
      <x:c r="U58" t="str">
        <x:v>Ödendi</x:v>
      </x:c>
    </x:row>
    <x:row r="59">
      <x:c r="A59" s="24" t="n">
        <x:v>46204</x:v>
      </x:c>
      <x:c r="B59" s="24" t="n">
        <x:v>46174</x:v>
      </x:c>
      <x:c r="C59" t="str">
        <x:v>B002-R008</x:v>
      </x:c>
      <x:c r="D59" t="n">
        <x:v>8</x:v>
      </x:c>
      <x:c r="E59" t="str">
        <x:v>Derya Koç</x:v>
      </x:c>
      <x:c r="F59" s="22" t="n">
        <x:v>305.90818363273456</x:v>
      </x:c>
      <x:c r="G59" s="22" t="n">
        <x:v>160.83832335329342</x:v>
      </x:c>
      <x:c r="H59" s="22" t="n">
        <x:v>346.9061876247505</x:v>
      </x:c>
      <x:c r="I59" s="22" t="n">
        <x:v>0</x:v>
      </x:c>
      <x:c r="J59" s="22" t="n">
        <x:v>0</x:v>
      </x:c>
      <x:c r="K59" s="22" t="n">
        <x:v>0</x:v>
      </x:c>
      <x:c r="L59" s="22" t="n">
        <x:v>504.59081836327346</x:v>
      </x:c>
      <x:c r="M59" s="22" t="n">
        <x:v>0</x:v>
      </x:c>
      <x:c r="N59" s="22" t="n">
        <x:v>0</x:v>
      </x:c>
      <x:c r="O59" s="22" t="n">
        <x:v>2759.4810379241517</x:v>
      </x:c>
      <x:c r="P59" s="22" t="n">
        <x:v>394.21157684630737</x:v>
      </x:c>
      <x:c r="Q59" s="22" t="n">
        <x:v>4471.936127744511</x:v>
      </x:c>
      <x:c r="R59" s="22" t="n">
        <x:v>0</x:v>
      </x:c>
      <x:c r="S59" s="20"/>
      <x:c r="T59" s="22" t="n">
        <x:v>4471.94</x:v>
      </x:c>
      <x:c r="U59" t="str">
        <x:v>Ödenmedi</x:v>
      </x:c>
    </x:row>
    <x:row r="60">
      <x:c r="A60" s="24" t="n">
        <x:v>46023</x:v>
      </x:c>
      <x:c r="B60" s="24" t="n">
        <x:v>45992</x:v>
      </x:c>
      <x:c r="C60" t="str">
        <x:v>B002-R009</x:v>
      </x:c>
      <x:c r="D60" t="n">
        <x:v>9</x:v>
      </x:c>
      <x:c r="E60" t="str">
        <x:v>Elif Polat</x:v>
      </x:c>
      <x:c r="F60" s="22" t="n">
        <x:v>129.94011976047904</x:v>
      </x:c>
      <x:c r="G60" s="22" t="n">
        <x:v>68.74251497005987</x:v>
      </x:c>
      <x:c r="H60" s="22" t="n">
        <x:v>176.04790419161677</x:v>
      </x:c>
      <x:c r="I60" s="22" t="n">
        <x:v>150.89820359281435</x:v>
      </x:c>
      <x:c r="J60" s="22" t="n">
        <x:v>0</x:v>
      </x:c>
      <x:c r="K60" s="22" t="n">
        <x:v>0</x:v>
      </x:c>
      <x:c r="L60" s="22" t="n">
        <x:v>234.7305389221557</x:v>
      </x:c>
      <x:c r="M60" s="22" t="n">
        <x:v>0</x:v>
      </x:c>
      <x:c r="N60" s="22" t="n">
        <x:v>0</x:v>
      </x:c>
      <x:c r="O60" s="22" t="n">
        <x:v>0</x:v>
      </x:c>
      <x:c r="P60" s="22" t="n">
        <x:v>209.58083832335328</x:v>
      </x:c>
      <x:c r="Q60" s="22" t="n">
        <x:v>969.940119760479</x:v>
      </x:c>
      <x:c r="R60" s="22" t="n">
        <x:v>969.94</x:v>
      </x:c>
      <x:c r="S60" s="20" t="n">
        <x:v>46028</x:v>
      </x:c>
      <x:c r="T60" s="22" t="n">
        <x:v>0</x:v>
      </x:c>
      <x:c r="U60" t="str">
        <x:v>Ödendi</x:v>
      </x:c>
    </x:row>
    <x:row r="61">
      <x:c r="A61" s="24" t="n">
        <x:v>46054</x:v>
      </x:c>
      <x:c r="B61" s="24" t="n">
        <x:v>46023</x:v>
      </x:c>
      <x:c r="C61" t="str">
        <x:v>B002-R009</x:v>
      </x:c>
      <x:c r="D61" t="n">
        <x:v>9</x:v>
      </x:c>
      <x:c r="E61" t="str">
        <x:v>Elif Polat</x:v>
      </x:c>
      <x:c r="F61" s="22" t="n">
        <x:v>138.32335329341316</x:v>
      </x:c>
      <x:c r="G61" s="22" t="n">
        <x:v>71.25748502994011</x:v>
      </x:c>
      <x:c r="H61" s="22" t="n">
        <x:v>176.04790419161677</x:v>
      </x:c>
      <x:c r="I61" s="22" t="n">
        <x:v>0</x:v>
      </x:c>
      <x:c r="J61" s="22" t="n">
        <x:v>268.2634730538922</x:v>
      </x:c>
      <x:c r="K61" s="22" t="n">
        <x:v>0</x:v>
      </x:c>
      <x:c r="L61" s="22" t="n">
        <x:v>234.7305389221557</x:v>
      </x:c>
      <x:c r="M61" s="22" t="n">
        <x:v>0</x:v>
      </x:c>
      <x:c r="N61" s="22" t="n">
        <x:v>0</x:v>
      </x:c>
      <x:c r="O61" s="22" t="n">
        <x:v>0</x:v>
      </x:c>
      <x:c r="P61" s="22" t="n">
        <x:v>209.58083832335328</x:v>
      </x:c>
      <x:c r="Q61" s="22" t="n">
        <x:v>1098.2035928143712</x:v>
      </x:c>
      <x:c r="R61" s="22" t="n">
        <x:v>1098.2</x:v>
      </x:c>
      <x:c r="S61" s="20" t="n">
        <x:v>46057</x:v>
      </x:c>
      <x:c r="T61" s="22" t="n">
        <x:v>0</x:v>
      </x:c>
      <x:c r="U61" t="str">
        <x:v>Ödendi</x:v>
      </x:c>
    </x:row>
    <x:row r="62">
      <x:c r="A62" s="24" t="n">
        <x:v>46082</x:v>
      </x:c>
      <x:c r="B62" s="24" t="n">
        <x:v>46054</x:v>
      </x:c>
      <x:c r="C62" t="str">
        <x:v>B002-R009</x:v>
      </x:c>
      <x:c r="D62" t="n">
        <x:v>9</x:v>
      </x:c>
      <x:c r="E62" t="str">
        <x:v>Elif Polat</x:v>
      </x:c>
      <x:c r="F62" s="22" t="n">
        <x:v>144.19161676646706</x:v>
      </x:c>
      <x:c r="G62" s="22" t="n">
        <x:v>77.12574850299401</x:v>
      </x:c>
      <x:c r="H62" s="22" t="n">
        <x:v>176.04790419161677</x:v>
      </x:c>
      <x:c r="I62" s="22" t="n">
        <x:v>201.19760479041915</x:v>
      </x:c>
      <x:c r="J62" s="22" t="n">
        <x:v>0</x:v>
      </x:c>
      <x:c r="K62" s="22" t="n">
        <x:v>352.09580838323353</x:v>
      </x:c>
      <x:c r="L62" s="22" t="n">
        <x:v>0</x:v>
      </x:c>
      <x:c r="M62" s="22" t="n">
        <x:v>0</x:v>
      </x:c>
      <x:c r="N62" s="22" t="n">
        <x:v>0</x:v>
      </x:c>
      <x:c r="O62" s="22" t="n">
        <x:v>0</x:v>
      </x:c>
      <x:c r="P62" s="22" t="n">
        <x:v>209.58083832335328</x:v>
      </x:c>
      <x:c r="Q62" s="22" t="n">
        <x:v>1160.2395209580839</x:v>
      </x:c>
      <x:c r="R62" s="22" t="n">
        <x:v>1160.24</x:v>
      </x:c>
      <x:c r="S62" s="20" t="n">
        <x:v>46092</x:v>
      </x:c>
      <x:c r="T62" s="22" t="n">
        <x:v>0</x:v>
      </x:c>
      <x:c r="U62" t="str">
        <x:v>Ödendi</x:v>
      </x:c>
    </x:row>
    <x:row r="63">
      <x:c r="A63" s="24" t="n">
        <x:v>46113</x:v>
      </x:c>
      <x:c r="B63" s="24" t="n">
        <x:v>46082</x:v>
      </x:c>
      <x:c r="C63" t="str">
        <x:v>B002-R009</x:v>
      </x:c>
      <x:c r="D63" t="n">
        <x:v>9</x:v>
      </x:c>
      <x:c r="E63" t="str">
        <x:v>Elif Polat</x:v>
      </x:c>
      <x:c r="F63" s="22" t="n">
        <x:v>132.45508982035926</x:v>
      </x:c>
      <x:c r="G63" s="22" t="n">
        <x:v>74.61077844311377</x:v>
      </x:c>
      <x:c r="H63" s="22" t="n">
        <x:v>176.04790419161677</x:v>
      </x:c>
      <x:c r="I63" s="22" t="n">
        <x:v>0</x:v>
      </x:c>
      <x:c r="J63" s="22" t="n">
        <x:v>0</x:v>
      </x:c>
      <x:c r="K63" s="22" t="n">
        <x:v>0</x:v>
      </x:c>
      <x:c r="L63" s="22" t="n">
        <x:v>251.49700598802394</x:v>
      </x:c>
      <x:c r="M63" s="22" t="n">
        <x:v>0</x:v>
      </x:c>
      <x:c r="N63" s="22" t="n">
        <x:v>318.56287425149696</x:v>
      </x:c>
      <x:c r="O63" s="22" t="n">
        <x:v>0</x:v>
      </x:c>
      <x:c r="P63" s="22" t="n">
        <x:v>209.58083832335328</x:v>
      </x:c>
      <x:c r="Q63" s="22" t="n">
        <x:v>1162.754491017964</x:v>
      </x:c>
      <x:c r="R63" s="22" t="n">
        <x:v>1162.75</x:v>
      </x:c>
      <x:c r="S63" s="20" t="n">
        <x:v>46117</x:v>
      </x:c>
      <x:c r="T63" s="22" t="n">
        <x:v>0</x:v>
      </x:c>
      <x:c r="U63" t="str">
        <x:v>Ödendi</x:v>
      </x:c>
    </x:row>
    <x:row r="64">
      <x:c r="A64" s="24" t="n">
        <x:v>46143</x:v>
      </x:c>
      <x:c r="B64" s="24" t="n">
        <x:v>46113</x:v>
      </x:c>
      <x:c r="C64" t="str">
        <x:v>B002-R009</x:v>
      </x:c>
      <x:c r="D64" t="n">
        <x:v>9</x:v>
      </x:c>
      <x:c r="E64" t="str">
        <x:v>Elif Polat</x:v>
      </x:c>
      <x:c r="F64" s="22" t="n">
        <x:v>141.6766467065868</x:v>
      </x:c>
      <x:c r="G64" s="22" t="n">
        <x:v>76.2874251497006</x:v>
      </x:c>
      <x:c r="H64" s="22" t="n">
        <x:v>184.4311377245509</x:v>
      </x:c>
      <x:c r="I64" s="22" t="n">
        <x:v>0</x:v>
      </x:c>
      <x:c r="J64" s="22" t="n">
        <x:v>519.7604790419161</x:v>
      </x:c>
      <x:c r="K64" s="22" t="n">
        <x:v>0</x:v>
      </x:c>
      <x:c r="L64" s="22" t="n">
        <x:v>0</x:v>
      </x:c>
      <x:c r="M64" s="22" t="n">
        <x:v>217.9640718562874</x:v>
      </x:c>
      <x:c r="N64" s="22" t="n">
        <x:v>0</x:v>
      </x:c>
      <x:c r="O64" s="22" t="n">
        <x:v>0</x:v>
      </x:c>
      <x:c r="P64" s="22" t="n">
        <x:v>209.58083832335328</x:v>
      </x:c>
      <x:c r="Q64" s="22" t="n">
        <x:v>1349.7005988023952</x:v>
      </x:c>
      <x:c r="R64" s="22" t="n">
        <x:v>674.85</x:v>
      </x:c>
      <x:c r="S64" s="20" t="n">
        <x:v>46157</x:v>
      </x:c>
      <x:c r="T64" s="22" t="n">
        <x:v>674.85</x:v>
      </x:c>
      <x:c r="U64" t="str">
        <x:v>Kısmi Ödeme</x:v>
      </x:c>
    </x:row>
    <x:row r="65">
      <x:c r="A65" s="24" t="n">
        <x:v>46174</x:v>
      </x:c>
      <x:c r="B65" s="24" t="n">
        <x:v>46143</x:v>
      </x:c>
      <x:c r="C65" t="str">
        <x:v>B002-R009</x:v>
      </x:c>
      <x:c r="D65" t="n">
        <x:v>9</x:v>
      </x:c>
      <x:c r="E65" t="str">
        <x:v>Elif Polat</x:v>
      </x:c>
      <x:c r="F65" s="22" t="n">
        <x:v>151.73652694610777</x:v>
      </x:c>
      <x:c r="G65" s="22" t="n">
        <x:v>82.15568862275448</x:v>
      </x:c>
      <x:c r="H65" s="22" t="n">
        <x:v>184.4311377245509</x:v>
      </x:c>
      <x:c r="I65" s="22" t="n">
        <x:v>301.7964071856287</x:v>
      </x:c>
      <x:c r="J65" s="22" t="n">
        <x:v>0</x:v>
      </x:c>
      <x:c r="K65" s="22" t="n">
        <x:v>0</x:v>
      </x:c>
      <x:c r="L65" s="22" t="n">
        <x:v>251.49700598802394</x:v>
      </x:c>
      <x:c r="M65" s="22" t="n">
        <x:v>0</x:v>
      </x:c>
      <x:c r="N65" s="22" t="n">
        <x:v>0</x:v>
      </x:c>
      <x:c r="O65" s="22" t="n">
        <x:v>0</x:v>
      </x:c>
      <x:c r="P65" s="22" t="n">
        <x:v>209.58083832335328</x:v>
      </x:c>
      <x:c r="Q65" s="22" t="n">
        <x:v>1181.197604790419</x:v>
      </x:c>
      <x:c r="R65" s="22" t="n">
        <x:v>1181.2</x:v>
      </x:c>
      <x:c r="S65" s="20" t="n">
        <x:v>46180</x:v>
      </x:c>
      <x:c r="T65" s="22" t="n">
        <x:v>0</x:v>
      </x:c>
      <x:c r="U65" t="str">
        <x:v>Ödendi</x:v>
      </x:c>
    </x:row>
    <x:row r="66">
      <x:c r="A66" s="24" t="n">
        <x:v>46204</x:v>
      </x:c>
      <x:c r="B66" s="24" t="n">
        <x:v>46174</x:v>
      </x:c>
      <x:c r="C66" t="str">
        <x:v>B002-R009</x:v>
      </x:c>
      <x:c r="D66" t="n">
        <x:v>9</x:v>
      </x:c>
      <x:c r="E66" t="str">
        <x:v>Elif Polat</x:v>
      </x:c>
      <x:c r="F66" s="22" t="n">
        <x:v>162.63473053892216</x:v>
      </x:c>
      <x:c r="G66" s="22" t="n">
        <x:v>85.50898203592814</x:v>
      </x:c>
      <x:c r="H66" s="22" t="n">
        <x:v>184.4311377245509</x:v>
      </x:c>
      <x:c r="I66" s="22" t="n">
        <x:v>0</x:v>
      </x:c>
      <x:c r="J66" s="22" t="n">
        <x:v>0</x:v>
      </x:c>
      <x:c r="K66" s="22" t="n">
        <x:v>0</x:v>
      </x:c>
      <x:c r="L66" s="22" t="n">
        <x:v>268.2634730538922</x:v>
      </x:c>
      <x:c r="M66" s="22" t="n">
        <x:v>0</x:v>
      </x:c>
      <x:c r="N66" s="22" t="n">
        <x:v>0</x:v>
      </x:c>
      <x:c r="O66" s="22" t="n">
        <x:v>1467.065868263473</x:v>
      </x:c>
      <x:c r="P66" s="22" t="n">
        <x:v>209.58083832335328</x:v>
      </x:c>
      <x:c r="Q66" s="22" t="n">
        <x:v>2377.4850299401196</x:v>
      </x:c>
      <x:c r="R66" s="22" t="n">
        <x:v>2377.49</x:v>
      </x:c>
      <x:c r="S66" s="20" t="n">
        <x:v>46213</x:v>
      </x:c>
      <x:c r="T66" s="22" t="n">
        <x:v>0</x:v>
      </x:c>
      <x:c r="U66" t="str">
        <x:v>Ödendi</x:v>
      </x:c>
    </x:row>
    <x:row r="67">
      <x:c r="A67" s="24" t="n">
        <x:v>46023</x:v>
      </x:c>
      <x:c r="B67" s="24" t="n">
        <x:v>45992</x:v>
      </x:c>
      <x:c r="C67" t="str">
        <x:v>B002-R010</x:v>
      </x:c>
      <x:c r="D67" t="n">
        <x:v>10</x:v>
      </x:c>
      <x:c r="E67" t="str">
        <x:v>Zeynep Eren</x:v>
      </x:c>
      <x:c r="F67" s="22" t="n">
        <x:v>224.3013972055888</x:v>
      </x:c>
      <x:c r="G67" s="22" t="n">
        <x:v>118.66267465069859</x:v>
      </x:c>
      <x:c r="H67" s="22" t="n">
        <x:v>303.89221556886224</x:v>
      </x:c>
      <x:c r="I67" s="22" t="n">
        <x:v>260.47904191616766</x:v>
      </x:c>
      <x:c r="J67" s="22" t="n">
        <x:v>0</x:v>
      </x:c>
      <x:c r="K67" s="22" t="n">
        <x:v>0</x:v>
      </x:c>
      <x:c r="L67" s="22" t="n">
        <x:v>405.189620758483</x:v>
      </x:c>
      <x:c r="M67" s="22" t="n">
        <x:v>0</x:v>
      </x:c>
      <x:c r="N67" s="22" t="n">
        <x:v>0</x:v>
      </x:c>
      <x:c r="O67" s="22" t="n">
        <x:v>0</x:v>
      </x:c>
      <x:c r="P67" s="22" t="n">
        <x:v>361.7764471057884</x:v>
      </x:c>
      <x:c r="Q67" s="22" t="n">
        <x:v>1674.3013972055887</x:v>
      </x:c>
      <x:c r="R67" s="22" t="n">
        <x:v>1674.3</x:v>
      </x:c>
      <x:c r="S67" s="20" t="n">
        <x:v>46027</x:v>
      </x:c>
      <x:c r="T67" s="22" t="n">
        <x:v>0</x:v>
      </x:c>
      <x:c r="U67" t="str">
        <x:v>Ödendi</x:v>
      </x:c>
    </x:row>
    <x:row r="68">
      <x:c r="A68" s="24" t="n">
        <x:v>46054</x:v>
      </x:c>
      <x:c r="B68" s="24" t="n">
        <x:v>46023</x:v>
      </x:c>
      <x:c r="C68" t="str">
        <x:v>B002-R010</x:v>
      </x:c>
      <x:c r="D68" t="n">
        <x:v>10</x:v>
      </x:c>
      <x:c r="E68" t="str">
        <x:v>Zeynep Eren</x:v>
      </x:c>
      <x:c r="F68" s="22" t="n">
        <x:v>238.77245508982034</x:v>
      </x:c>
      <x:c r="G68" s="22" t="n">
        <x:v>123.00399201596805</x:v>
      </x:c>
      <x:c r="H68" s="22" t="n">
        <x:v>303.89221556886224</x:v>
      </x:c>
      <x:c r="I68" s="22" t="n">
        <x:v>0</x:v>
      </x:c>
      <x:c r="J68" s="22" t="n">
        <x:v>463.07385229540915</x:v>
      </x:c>
      <x:c r="K68" s="22" t="n">
        <x:v>0</x:v>
      </x:c>
      <x:c r="L68" s="22" t="n">
        <x:v>405.189620758483</x:v>
      </x:c>
      <x:c r="M68" s="22" t="n">
        <x:v>0</x:v>
      </x:c>
      <x:c r="N68" s="22" t="n">
        <x:v>0</x:v>
      </x:c>
      <x:c r="O68" s="22" t="n">
        <x:v>0</x:v>
      </x:c>
      <x:c r="P68" s="22" t="n">
        <x:v>361.7764471057884</x:v>
      </x:c>
      <x:c r="Q68" s="22" t="n">
        <x:v>1895.708582834331</x:v>
      </x:c>
      <x:c r="R68" s="22" t="n">
        <x:v>1895.71</x:v>
      </x:c>
      <x:c r="S68" s="20" t="n">
        <x:v>46064</x:v>
      </x:c>
      <x:c r="T68" s="22" t="n">
        <x:v>0</x:v>
      </x:c>
      <x:c r="U68" t="str">
        <x:v>Ödendi</x:v>
      </x:c>
    </x:row>
    <x:row r="69">
      <x:c r="A69" s="24" t="n">
        <x:v>46082</x:v>
      </x:c>
      <x:c r="B69" s="24" t="n">
        <x:v>46054</x:v>
      </x:c>
      <x:c r="C69" t="str">
        <x:v>B002-R010</x:v>
      </x:c>
      <x:c r="D69" t="n">
        <x:v>10</x:v>
      </x:c>
      <x:c r="E69" t="str">
        <x:v>Zeynep Eren</x:v>
      </x:c>
      <x:c r="F69" s="22" t="n">
        <x:v>248.90219560878242</x:v>
      </x:c>
      <x:c r="G69" s="22" t="n">
        <x:v>133.13373253493015</x:v>
      </x:c>
      <x:c r="H69" s="22" t="n">
        <x:v>303.89221556886224</x:v>
      </x:c>
      <x:c r="I69" s="22" t="n">
        <x:v>347.3053892215569</x:v>
      </x:c>
      <x:c r="J69" s="22" t="n">
        <x:v>0</x:v>
      </x:c>
      <x:c r="K69" s="22" t="n">
        <x:v>607.7844311377245</x:v>
      </x:c>
      <x:c r="L69" s="22" t="n">
        <x:v>0</x:v>
      </x:c>
      <x:c r="M69" s="22" t="n">
        <x:v>0</x:v>
      </x:c>
      <x:c r="N69" s="22" t="n">
        <x:v>0</x:v>
      </x:c>
      <x:c r="O69" s="22" t="n">
        <x:v>0</x:v>
      </x:c>
      <x:c r="P69" s="22" t="n">
        <x:v>361.7764471057884</x:v>
      </x:c>
      <x:c r="Q69" s="22" t="n">
        <x:v>2002.7944111776446</x:v>
      </x:c>
      <x:c r="R69" s="22" t="n">
        <x:v>2002.79</x:v>
      </x:c>
      <x:c r="S69" s="20" t="n">
        <x:v>46087</x:v>
      </x:c>
      <x:c r="T69" s="22" t="n">
        <x:v>0</x:v>
      </x:c>
      <x:c r="U69" t="str">
        <x:v>Ödendi</x:v>
      </x:c>
    </x:row>
    <x:row r="70">
      <x:c r="A70" s="24" t="n">
        <x:v>46113</x:v>
      </x:c>
      <x:c r="B70" s="24" t="n">
        <x:v>46082</x:v>
      </x:c>
      <x:c r="C70" t="str">
        <x:v>B002-R010</x:v>
      </x:c>
      <x:c r="D70" t="n">
        <x:v>10</x:v>
      </x:c>
      <x:c r="E70" t="str">
        <x:v>Zeynep Eren</x:v>
      </x:c>
      <x:c r="F70" s="22" t="n">
        <x:v>228.64271457085826</x:v>
      </x:c>
      <x:c r="G70" s="22" t="n">
        <x:v>128.79241516966067</x:v>
      </x:c>
      <x:c r="H70" s="22" t="n">
        <x:v>303.89221556886224</x:v>
      </x:c>
      <x:c r="I70" s="22" t="n">
        <x:v>0</x:v>
      </x:c>
      <x:c r="J70" s="22" t="n">
        <x:v>0</x:v>
      </x:c>
      <x:c r="K70" s="22" t="n">
        <x:v>0</x:v>
      </x:c>
      <x:c r="L70" s="22" t="n">
        <x:v>434.1317365269461</x:v>
      </x:c>
      <x:c r="M70" s="22" t="n">
        <x:v>0</x:v>
      </x:c>
      <x:c r="N70" s="22" t="n">
        <x:v>549.9001996007984</x:v>
      </x:c>
      <x:c r="O70" s="22" t="n">
        <x:v>0</x:v>
      </x:c>
      <x:c r="P70" s="22" t="n">
        <x:v>361.7764471057884</x:v>
      </x:c>
      <x:c r="Q70" s="22" t="n">
        <x:v>2007.135728542914</x:v>
      </x:c>
      <x:c r="R70" s="22" t="n">
        <x:v>2007.14</x:v>
      </x:c>
      <x:c r="S70" s="20" t="n">
        <x:v>46125</x:v>
      </x:c>
      <x:c r="T70" s="22" t="n">
        <x:v>0</x:v>
      </x:c>
      <x:c r="U70" t="str">
        <x:v>Ödendi</x:v>
      </x:c>
    </x:row>
    <x:row r="71">
      <x:c r="A71" s="24" t="n">
        <x:v>46143</x:v>
      </x:c>
      <x:c r="B71" s="24" t="n">
        <x:v>46113</x:v>
      </x:c>
      <x:c r="C71" t="str">
        <x:v>B002-R010</x:v>
      </x:c>
      <x:c r="D71" t="n">
        <x:v>10</x:v>
      </x:c>
      <x:c r="E71" t="str">
        <x:v>Zeynep Eren</x:v>
      </x:c>
      <x:c r="F71" s="22" t="n">
        <x:v>244.56087824351297</x:v>
      </x:c>
      <x:c r="G71" s="22" t="n">
        <x:v>131.686626746507</x:v>
      </x:c>
      <x:c r="H71" s="22" t="n">
        <x:v>318.3632734530938</x:v>
      </x:c>
      <x:c r="I71" s="22" t="n">
        <x:v>0</x:v>
      </x:c>
      <x:c r="J71" s="22" t="n">
        <x:v>897.2055888223553</x:v>
      </x:c>
      <x:c r="K71" s="22" t="n">
        <x:v>0</x:v>
      </x:c>
      <x:c r="L71" s="22" t="n">
        <x:v>0</x:v>
      </x:c>
      <x:c r="M71" s="22" t="n">
        <x:v>376.24750499001993</x:v>
      </x:c>
      <x:c r="N71" s="22" t="n">
        <x:v>0</x:v>
      </x:c>
      <x:c r="O71" s="22" t="n">
        <x:v>0</x:v>
      </x:c>
      <x:c r="P71" s="22" t="n">
        <x:v>361.7764471057884</x:v>
      </x:c>
      <x:c r="Q71" s="22" t="n">
        <x:v>2329.8403193612776</x:v>
      </x:c>
      <x:c r="R71" s="22" t="n">
        <x:v>2329.84</x:v>
      </x:c>
      <x:c r="S71" s="20" t="n">
        <x:v>46155</x:v>
      </x:c>
      <x:c r="T71" s="22" t="n">
        <x:v>0</x:v>
      </x:c>
      <x:c r="U71" t="str">
        <x:v>Ödendi</x:v>
      </x:c>
    </x:row>
    <x:row r="72">
      <x:c r="A72" s="24" t="n">
        <x:v>46174</x:v>
      </x:c>
      <x:c r="B72" s="24" t="n">
        <x:v>46143</x:v>
      </x:c>
      <x:c r="C72" t="str">
        <x:v>B002-R010</x:v>
      </x:c>
      <x:c r="D72" t="n">
        <x:v>10</x:v>
      </x:c>
      <x:c r="E72" t="str">
        <x:v>Zeynep Eren</x:v>
      </x:c>
      <x:c r="F72" s="22" t="n">
        <x:v>261.9261477045908</x:v>
      </x:c>
      <x:c r="G72" s="22" t="n">
        <x:v>141.81636726546907</x:v>
      </x:c>
      <x:c r="H72" s="22" t="n">
        <x:v>318.3632734530938</x:v>
      </x:c>
      <x:c r="I72" s="22" t="n">
        <x:v>520.9580838323353</x:v>
      </x:c>
      <x:c r="J72" s="22" t="n">
        <x:v>0</x:v>
      </x:c>
      <x:c r="K72" s="22" t="n">
        <x:v>0</x:v>
      </x:c>
      <x:c r="L72" s="22" t="n">
        <x:v>434.1317365269461</x:v>
      </x:c>
      <x:c r="M72" s="22" t="n">
        <x:v>0</x:v>
      </x:c>
      <x:c r="N72" s="22" t="n">
        <x:v>0</x:v>
      </x:c>
      <x:c r="O72" s="22" t="n">
        <x:v>0</x:v>
      </x:c>
      <x:c r="P72" s="22" t="n">
        <x:v>361.7764471057884</x:v>
      </x:c>
      <x:c r="Q72" s="22" t="n">
        <x:v>2038.9720558882236</x:v>
      </x:c>
      <x:c r="R72" s="22" t="n">
        <x:v>2038.97</x:v>
      </x:c>
      <x:c r="S72" s="20" t="n">
        <x:v>46184</x:v>
      </x:c>
      <x:c r="T72" s="22" t="n">
        <x:v>0</x:v>
      </x:c>
      <x:c r="U72" t="str">
        <x:v>Ödendi</x:v>
      </x:c>
    </x:row>
    <x:row r="73">
      <x:c r="A73" s="24" t="n">
        <x:v>46204</x:v>
      </x:c>
      <x:c r="B73" s="24" t="n">
        <x:v>46174</x:v>
      </x:c>
      <x:c r="C73" t="str">
        <x:v>B002-R010</x:v>
      </x:c>
      <x:c r="D73" t="n">
        <x:v>10</x:v>
      </x:c>
      <x:c r="E73" t="str">
        <x:v>Zeynep Eren</x:v>
      </x:c>
      <x:c r="F73" s="22" t="n">
        <x:v>280.7385229540918</x:v>
      </x:c>
      <x:c r="G73" s="22" t="n">
        <x:v>147.60479041916167</x:v>
      </x:c>
      <x:c r="H73" s="22" t="n">
        <x:v>318.3632734530938</x:v>
      </x:c>
      <x:c r="I73" s="22" t="n">
        <x:v>0</x:v>
      </x:c>
      <x:c r="J73" s="22" t="n">
        <x:v>0</x:v>
      </x:c>
      <x:c r="K73" s="22" t="n">
        <x:v>0</x:v>
      </x:c>
      <x:c r="L73" s="22" t="n">
        <x:v>463.07385229540915</x:v>
      </x:c>
      <x:c r="M73" s="22" t="n">
        <x:v>0</x:v>
      </x:c>
      <x:c r="N73" s="22" t="n">
        <x:v>0</x:v>
      </x:c>
      <x:c r="O73" s="22" t="n">
        <x:v>2532.4351297405187</x:v>
      </x:c>
      <x:c r="P73" s="22" t="n">
        <x:v>361.7764471057884</x:v>
      </x:c>
      <x:c r="Q73" s="22" t="n">
        <x:v>4103.992015968063</x:v>
      </x:c>
      <x:c r="R73" s="22" t="n">
        <x:v>0</x:v>
      </x:c>
      <x:c r="S73" s="20"/>
      <x:c r="T73" s="22" t="n">
        <x:v>4103.99</x:v>
      </x:c>
      <x:c r="U73" t="str">
        <x:v>Ödenmedi</x:v>
      </x:c>
    </x:row>
  </x:sheetData>
  <x:mergeCells>
    <x:mergeCell ref="A1:U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Mavişehir Apartmanı — Banka Hesap Hareketleri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Tarih</x:v>
      </x:c>
      <x:c r="B3" s="10" t="str">
        <x:v>Açıklama</x:v>
      </x:c>
      <x:c r="C3" s="10" t="str">
        <x:v>Tip</x:v>
      </x:c>
      <x:c r="D3" s="10" t="str">
        <x:v>Giriş</x:v>
      </x:c>
      <x:c r="E3" s="10" t="str">
        <x:v>Çıkış</x:v>
      </x:c>
      <x:c r="F3" s="10" t="str">
        <x:v>Bakiye</x:v>
      </x:c>
      <x:c r="G3" s="10" t="str">
        <x:v>Kategori</x:v>
      </x:c>
      <x:c r="H3" s="10" t="str">
        <x:v>Referans</x:v>
      </x:c>
    </x:row>
    <x:row r="4">
      <x:c r="A4" s="20" t="n">
        <x:v>46027</x:v>
      </x:c>
      <x:c r="B4" t="str">
        <x:v>Daire 1 - Pelin Yıldız 01/2026 aidat</x:v>
      </x:c>
      <x:c r="C4" t="str">
        <x:v>Giriş</x:v>
      </x:c>
      <x:c r="D4" s="22" t="n">
        <x:v>900.66</x:v>
      </x:c>
      <x:c r="E4" s="22" t="n">
        <x:v>0</x:v>
      </x:c>
      <x:c r="F4" s="22" t="n">
        <x:v>32900.66</x:v>
      </x:c>
      <x:c r="G4" t="str">
        <x:v>Aidat</x:v>
      </x:c>
      <x:c r="H4" t="str">
        <x:v>B002-R001-01</x:v>
      </x:c>
    </x:row>
    <x:row r="5">
      <x:c r="A5" s="20" t="n">
        <x:v>46027</x:v>
      </x:c>
      <x:c r="B5" t="str">
        <x:v>Daire 10 - Zeynep Eren 01/2026 aidat</x:v>
      </x:c>
      <x:c r="C5" t="str">
        <x:v>Giriş</x:v>
      </x:c>
      <x:c r="D5" s="22" t="n">
        <x:v>1674.3</x:v>
      </x:c>
      <x:c r="E5" s="22" t="n">
        <x:v>0</x:v>
      </x:c>
      <x:c r="F5" s="22" t="n">
        <x:v>34574.96000000001</x:v>
      </x:c>
      <x:c r="G5" t="str">
        <x:v>Aidat</x:v>
      </x:c>
      <x:c r="H5" t="str">
        <x:v>B002-R010-01</x:v>
      </x:c>
    </x:row>
    <x:row r="6">
      <x:c r="A6" s="20" t="n">
        <x:v>46027</x:v>
      </x:c>
      <x:c r="B6" t="str">
        <x:v>Ocak ortak alan elektrik</x:v>
      </x:c>
      <x:c r="C6" t="str">
        <x:v>Çıkış</x:v>
      </x:c>
      <x:c r="D6" s="22" t="n">
        <x:v>0</x:v>
      </x:c>
      <x:c r="E6" s="22" t="n">
        <x:v>1650</x:v>
      </x:c>
      <x:c r="F6" s="22" t="n">
        <x:v>32924.96000000001</x:v>
      </x:c>
      <x:c r="G6" t="str">
        <x:v>Ortak Alan Elektrik</x:v>
      </x:c>
      <x:c r="H6" t="str">
        <x:v>B002-G0007</x:v>
      </x:c>
    </x:row>
    <x:row r="7">
      <x:c r="A7" s="20" t="n">
        <x:v>46028</x:v>
      </x:c>
      <x:c r="B7" t="str">
        <x:v>Daire 3 - Mehmet Özdemir 01/2026 aidat</x:v>
      </x:c>
      <x:c r="C7" t="str">
        <x:v>Giriş</x:v>
      </x:c>
      <x:c r="D7" s="22" t="n">
        <x:v>1212.43</x:v>
      </x:c>
      <x:c r="E7" s="22" t="n">
        <x:v>0</x:v>
      </x:c>
      <x:c r="F7" s="22" t="n">
        <x:v>34137.39000000001</x:v>
      </x:c>
      <x:c r="G7" t="str">
        <x:v>Aidat</x:v>
      </x:c>
      <x:c r="H7" t="str">
        <x:v>B002-R003-01</x:v>
      </x:c>
    </x:row>
    <x:row r="8">
      <x:c r="A8" s="20" t="n">
        <x:v>46028</x:v>
      </x:c>
      <x:c r="B8" t="str">
        <x:v>Daire 4 - Onur Özdemir 01/2026 aidat</x:v>
      </x:c>
      <x:c r="C8" t="str">
        <x:v>Giriş</x:v>
      </x:c>
      <x:c r="D8" s="22" t="n">
        <x:v>785.19</x:v>
      </x:c>
      <x:c r="E8" s="22" t="n">
        <x:v>0</x:v>
      </x:c>
      <x:c r="F8" s="22" t="n">
        <x:v>34922.58000000001</x:v>
      </x:c>
      <x:c r="G8" t="str">
        <x:v>Aidat</x:v>
      </x:c>
      <x:c r="H8" t="str">
        <x:v>B002-R004-01</x:v>
      </x:c>
    </x:row>
    <x:row r="9">
      <x:c r="A9" s="20" t="n">
        <x:v>46028</x:v>
      </x:c>
      <x:c r="B9" t="str">
        <x:v>Daire 9 - Elif Polat 01/2026 aidat</x:v>
      </x:c>
      <x:c r="C9" t="str">
        <x:v>Giriş</x:v>
      </x:c>
      <x:c r="D9" s="22" t="n">
        <x:v>969.94</x:v>
      </x:c>
      <x:c r="E9" s="22" t="n">
        <x:v>0</x:v>
      </x:c>
      <x:c r="F9" s="22" t="n">
        <x:v>35892.52000000001</x:v>
      </x:c>
      <x:c r="G9" t="str">
        <x:v>Aidat</x:v>
      </x:c>
      <x:c r="H9" t="str">
        <x:v>B002-R009-01</x:v>
      </x:c>
    </x:row>
    <x:row r="10">
      <x:c r="A10" s="20" t="n">
        <x:v>46029</x:v>
      </x:c>
      <x:c r="B10" t="str">
        <x:v>Daire 8 - Derya Koç 01/2026 aidat</x:v>
      </x:c>
      <x:c r="C10" t="str">
        <x:v>Giriş</x:v>
      </x:c>
      <x:c r="D10" s="22" t="n">
        <x:v>1824.41</x:v>
      </x:c>
      <x:c r="E10" s="22" t="n">
        <x:v>0</x:v>
      </x:c>
      <x:c r="F10" s="22" t="n">
        <x:v>37716.930000000015</x:v>
      </x:c>
      <x:c r="G10" t="str">
        <x:v>Aidat</x:v>
      </x:c>
      <x:c r="H10" t="str">
        <x:v>B002-R008-01</x:v>
      </x:c>
    </x:row>
    <x:row r="11">
      <x:c r="A11" s="20" t="n">
        <x:v>46030</x:v>
      </x:c>
      <x:c r="B11" t="str">
        <x:v>Daire 7 - Deniz Polat 01/2026 aidat</x:v>
      </x:c>
      <x:c r="C11" t="str">
        <x:v>Giriş</x:v>
      </x:c>
      <x:c r="D11" s="22" t="n">
        <x:v>831.38</x:v>
      </x:c>
      <x:c r="E11" s="22" t="n">
        <x:v>0</x:v>
      </x:c>
      <x:c r="F11" s="22" t="n">
        <x:v>38548.31000000001</x:v>
      </x:c>
      <x:c r="G11" t="str">
        <x:v>Aidat</x:v>
      </x:c>
      <x:c r="H11" t="str">
        <x:v>B002-R007-01</x:v>
      </x:c>
    </x:row>
    <x:row r="12">
      <x:c r="A12" s="20" t="n">
        <x:v>46031</x:v>
      </x:c>
      <x:c r="B12" t="str">
        <x:v>Ocak ortak alan su</x:v>
      </x:c>
      <x:c r="C12" t="str">
        <x:v>Çıkış</x:v>
      </x:c>
      <x:c r="D12" s="22" t="n">
        <x:v>0</x:v>
      </x:c>
      <x:c r="E12" s="22" t="n">
        <x:v>850</x:v>
      </x:c>
      <x:c r="F12" s="22" t="n">
        <x:v>37698.31000000001</x:v>
      </x:c>
      <x:c r="G12" t="str">
        <x:v>Ortak Alan Su</x:v>
      </x:c>
      <x:c r="H12" t="str">
        <x:v>B002-G0008</x:v>
      </x:c>
    </x:row>
    <x:row r="13">
      <x:c r="A13" s="20" t="n">
        <x:v>46032</x:v>
      </x:c>
      <x:c r="B13" t="str">
        <x:v>Daire 5 - Selin Kılıç 01/2026 aidat</x:v>
      </x:c>
      <x:c r="C13" t="str">
        <x:v>Giriş</x:v>
      </x:c>
      <x:c r="D13" s="22" t="n">
        <x:v>1108.5</x:v>
      </x:c>
      <x:c r="E13" s="22" t="n">
        <x:v>0</x:v>
      </x:c>
      <x:c r="F13" s="22" t="n">
        <x:v>38806.81000000001</x:v>
      </x:c>
      <x:c r="G13" t="str">
        <x:v>Aidat</x:v>
      </x:c>
      <x:c r="H13" t="str">
        <x:v>B002-R005-01</x:v>
      </x:c>
    </x:row>
    <x:row r="14">
      <x:c r="A14" s="20" t="n">
        <x:v>46033</x:v>
      </x:c>
      <x:c r="B14" t="str">
        <x:v>Daire 2 - Burak Kılıç 01/2026 aidat</x:v>
      </x:c>
      <x:c r="C14" t="str">
        <x:v>Giriş</x:v>
      </x:c>
      <x:c r="D14" s="22" t="n">
        <x:v>900.66</x:v>
      </x:c>
      <x:c r="E14" s="22" t="n">
        <x:v>0</x:v>
      </x:c>
      <x:c r="F14" s="22" t="n">
        <x:v>39707.470000000016</x:v>
      </x:c>
      <x:c r="G14" t="str">
        <x:v>Aidat</x:v>
      </x:c>
      <x:c r="H14" t="str">
        <x:v>B002-R002-01</x:v>
      </x:c>
    </x:row>
    <x:row r="15">
      <x:c r="A15" s="20" t="n">
        <x:v>46035</x:v>
      </x:c>
      <x:c r="B15" t="str">
        <x:v>Daire 6 - Buse Özdemir 01/2026 aidat</x:v>
      </x:c>
      <x:c r="C15" t="str">
        <x:v>Giriş</x:v>
      </x:c>
      <x:c r="D15" s="22" t="n">
        <x:v>1362.53</x:v>
      </x:c>
      <x:c r="E15" s="22" t="n">
        <x:v>0</x:v>
      </x:c>
      <x:c r="F15" s="22" t="n">
        <x:v>41070.000000000015</x:v>
      </x:c>
      <x:c r="G15" t="str">
        <x:v>Aidat</x:v>
      </x:c>
      <x:c r="H15" t="str">
        <x:v>B002-R006-01</x:v>
      </x:c>
    </x:row>
    <x:row r="16">
      <x:c r="A16" s="20" t="n">
        <x:v>46035</x:v>
      </x:c>
      <x:c r="B16" t="str">
        <x:v>Aylık asansör bakımı</x:v>
      </x:c>
      <x:c r="C16" t="str">
        <x:v>Çıkış</x:v>
      </x:c>
      <x:c r="D16" s="22" t="n">
        <x:v>0</x:v>
      </x:c>
      <x:c r="E16" s="22" t="n">
        <x:v>2100</x:v>
      </x:c>
      <x:c r="F16" s="22" t="n">
        <x:v>38970.000000000015</x:v>
      </x:c>
      <x:c r="G16" t="str">
        <x:v>Asansör Bakımı</x:v>
      </x:c>
      <x:c r="H16" t="str">
        <x:v>B002-G0009</x:v>
      </x:c>
    </x:row>
    <x:row r="17">
      <x:c r="A17" s="20" t="n">
        <x:v>46039</x:v>
      </x:c>
      <x:c r="B17" t="str">
        <x:v>Hidrofor bakım ve ayar</x:v>
      </x:c>
      <x:c r="C17" t="str">
        <x:v>Çıkış</x:v>
      </x:c>
      <x:c r="D17" s="22" t="n">
        <x:v>0</x:v>
      </x:c>
      <x:c r="E17" s="22" t="n">
        <x:v>3200</x:v>
      </x:c>
      <x:c r="F17" s="22" t="n">
        <x:v>35770.000000000015</x:v>
      </x:c>
      <x:c r="G17" t="str">
        <x:v>Hidrofor Bakımı</x:v>
      </x:c>
      <x:c r="H17" t="str">
        <x:v>B002-G0010</x:v>
      </x:c>
    </x:row>
    <x:row r="18">
      <x:c r="A18" s="20" t="n">
        <x:v>46047</x:v>
      </x:c>
      <x:c r="B18" t="str">
        <x:v>Yönetim hizmet bedeli</x:v>
      </x:c>
      <x:c r="C18" t="str">
        <x:v>Çıkış</x:v>
      </x:c>
      <x:c r="D18" s="22" t="n">
        <x:v>0</x:v>
      </x:c>
      <x:c r="E18" s="22" t="n">
        <x:v>2500</x:v>
      </x:c>
      <x:c r="F18" s="22" t="n">
        <x:v>33270.000000000015</x:v>
      </x:c>
      <x:c r="G18" t="str">
        <x:v>Yönetim Hizmeti</x:v>
      </x:c>
      <x:c r="H18" t="str">
        <x:v>B002-G0012</x:v>
      </x:c>
    </x:row>
    <x:row r="19">
      <x:c r="A19" s="20" t="n">
        <x:v>46057</x:v>
      </x:c>
      <x:c r="B19" t="str">
        <x:v>Daire 9 - Elif Polat 02/2026 aidat</x:v>
      </x:c>
      <x:c r="C19" t="str">
        <x:v>Giriş</x:v>
      </x:c>
      <x:c r="D19" s="22" t="n">
        <x:v>1098.2</x:v>
      </x:c>
      <x:c r="E19" s="22" t="n">
        <x:v>0</x:v>
      </x:c>
      <x:c r="F19" s="22" t="n">
        <x:v>34368.20000000001</x:v>
      </x:c>
      <x:c r="G19" t="str">
        <x:v>Aidat</x:v>
      </x:c>
      <x:c r="H19" t="str">
        <x:v>B002-R009-02</x:v>
      </x:c>
    </x:row>
    <x:row r="20">
      <x:c r="A20" s="20" t="n">
        <x:v>46058</x:v>
      </x:c>
      <x:c r="B20" t="str">
        <x:v>Daire 1 - Pelin Yıldız 02/2026 aidat</x:v>
      </x:c>
      <x:c r="C20" t="str">
        <x:v>Giriş</x:v>
      </x:c>
      <x:c r="D20" s="22" t="n">
        <x:v>1019.76</x:v>
      </x:c>
      <x:c r="E20" s="22" t="n">
        <x:v>0</x:v>
      </x:c>
      <x:c r="F20" s="22" t="n">
        <x:v>35387.960000000014</x:v>
      </x:c>
      <x:c r="G20" t="str">
        <x:v>Aidat</x:v>
      </x:c>
      <x:c r="H20" t="str">
        <x:v>B002-R001-02</x:v>
      </x:c>
    </x:row>
    <x:row r="21">
      <x:c r="A21" s="20" t="n">
        <x:v>46058</x:v>
      </x:c>
      <x:c r="B21" t="str">
        <x:v>Daire 5 - Selin Kılıç 02/2026 aidat</x:v>
      </x:c>
      <x:c r="C21" t="str">
        <x:v>Giriş</x:v>
      </x:c>
      <x:c r="D21" s="22" t="n">
        <x:v>1255.09</x:v>
      </x:c>
      <x:c r="E21" s="22" t="n">
        <x:v>0</x:v>
      </x:c>
      <x:c r="F21" s="22" t="n">
        <x:v>36643.05000000001</x:v>
      </x:c>
      <x:c r="G21" t="str">
        <x:v>Aidat</x:v>
      </x:c>
      <x:c r="H21" t="str">
        <x:v>B002-R005-02</x:v>
      </x:c>
    </x:row>
    <x:row r="22">
      <x:c r="A22" s="20" t="n">
        <x:v>46058</x:v>
      </x:c>
      <x:c r="B22" t="str">
        <x:v>Şubat ortak alan elektrik</x:v>
      </x:c>
      <x:c r="C22" t="str">
        <x:v>Çıkış</x:v>
      </x:c>
      <x:c r="D22" s="22" t="n">
        <x:v>0</x:v>
      </x:c>
      <x:c r="E22" s="22" t="n">
        <x:v>1720</x:v>
      </x:c>
      <x:c r="F22" s="22" t="n">
        <x:v>34923.05000000001</x:v>
      </x:c>
      <x:c r="G22" t="str">
        <x:v>Ortak Alan Elektrik</x:v>
      </x:c>
      <x:c r="H22" t="str">
        <x:v>B002-G0013</x:v>
      </x:c>
    </x:row>
    <x:row r="23">
      <x:c r="A23" s="20" t="n">
        <x:v>46061</x:v>
      </x:c>
      <x:c r="B23" t="str">
        <x:v>Daire 3 - Mehmet Özdemir 02/2026 aidat</x:v>
      </x:c>
      <x:c r="C23" t="str">
        <x:v>Giriş</x:v>
      </x:c>
      <x:c r="D23" s="22" t="n">
        <x:v>1372.75</x:v>
      </x:c>
      <x:c r="E23" s="22" t="n">
        <x:v>0</x:v>
      </x:c>
      <x:c r="F23" s="22" t="n">
        <x:v>36295.80000000001</x:v>
      </x:c>
      <x:c r="G23" t="str">
        <x:v>Aidat</x:v>
      </x:c>
      <x:c r="H23" t="str">
        <x:v>B002-R003-02</x:v>
      </x:c>
    </x:row>
    <x:row r="24">
      <x:c r="A24" s="20" t="n">
        <x:v>46061</x:v>
      </x:c>
      <x:c r="B24" t="str">
        <x:v>Daire 4 - Onur Özdemir 02/2026 aidat</x:v>
      </x:c>
      <x:c r="C24" t="str">
        <x:v>Giriş</x:v>
      </x:c>
      <x:c r="D24" s="22" t="n">
        <x:v>889.02</x:v>
      </x:c>
      <x:c r="E24" s="22" t="n">
        <x:v>0</x:v>
      </x:c>
      <x:c r="F24" s="22" t="n">
        <x:v>37184.82000000001</x:v>
      </x:c>
      <x:c r="G24" t="str">
        <x:v>Aidat</x:v>
      </x:c>
      <x:c r="H24" t="str">
        <x:v>B002-R004-02</x:v>
      </x:c>
    </x:row>
    <x:row r="25">
      <x:c r="A25" s="20" t="n">
        <x:v>46061</x:v>
      </x:c>
      <x:c r="B25" t="str">
        <x:v>Daire 7 - Deniz Polat 02/2026 aidat</x:v>
      </x:c>
      <x:c r="C25" t="str">
        <x:v>Giriş</x:v>
      </x:c>
      <x:c r="D25" s="22" t="n">
        <x:v>941.32</x:v>
      </x:c>
      <x:c r="E25" s="22" t="n">
        <x:v>0</x:v>
      </x:c>
      <x:c r="F25" s="22" t="n">
        <x:v>38126.14000000001</x:v>
      </x:c>
      <x:c r="G25" t="str">
        <x:v>Aidat</x:v>
      </x:c>
      <x:c r="H25" t="str">
        <x:v>B002-R007-02</x:v>
      </x:c>
    </x:row>
    <x:row r="26">
      <x:c r="A26" s="20" t="n">
        <x:v>46062</x:v>
      </x:c>
      <x:c r="B26" t="str">
        <x:v>Şubat ortak alan su</x:v>
      </x:c>
      <x:c r="C26" t="str">
        <x:v>Çıkış</x:v>
      </x:c>
      <x:c r="D26" s="22" t="n">
        <x:v>0</x:v>
      </x:c>
      <x:c r="E26" s="22" t="n">
        <x:v>920</x:v>
      </x:c>
      <x:c r="F26" s="22" t="n">
        <x:v>37206.14000000001</x:v>
      </x:c>
      <x:c r="G26" t="str">
        <x:v>Ortak Alan Su</x:v>
      </x:c>
      <x:c r="H26" t="str">
        <x:v>B002-G0014</x:v>
      </x:c>
    </x:row>
    <x:row r="27">
      <x:c r="A27" s="20" t="n">
        <x:v>46064</x:v>
      </x:c>
      <x:c r="B27" t="str">
        <x:v>Daire 10 - Zeynep Eren 02/2026 aidat</x:v>
      </x:c>
      <x:c r="C27" t="str">
        <x:v>Giriş</x:v>
      </x:c>
      <x:c r="D27" s="22" t="n">
        <x:v>1895.71</x:v>
      </x:c>
      <x:c r="E27" s="22" t="n">
        <x:v>0</x:v>
      </x:c>
      <x:c r="F27" s="22" t="n">
        <x:v>39101.850000000006</x:v>
      </x:c>
      <x:c r="G27" t="str">
        <x:v>Aidat</x:v>
      </x:c>
      <x:c r="H27" t="str">
        <x:v>B002-R010-02</x:v>
      </x:c>
    </x:row>
    <x:row r="28">
      <x:c r="A28" s="20" t="n">
        <x:v>46065</x:v>
      </x:c>
      <x:c r="B28" t="str">
        <x:v>Daire 2 - Burak Kılıç 02/2026 aidat</x:v>
      </x:c>
      <x:c r="C28" t="str">
        <x:v>Giriş</x:v>
      </x:c>
      <x:c r="D28" s="22" t="n">
        <x:v>1019.76</x:v>
      </x:c>
      <x:c r="E28" s="22" t="n">
        <x:v>0</x:v>
      </x:c>
      <x:c r="F28" s="22" t="n">
        <x:v>40121.61000000001</x:v>
      </x:c>
      <x:c r="G28" t="str">
        <x:v>Aidat</x:v>
      </x:c>
      <x:c r="H28" t="str">
        <x:v>B002-R002-02</x:v>
      </x:c>
    </x:row>
    <x:row r="29">
      <x:c r="A29" s="20" t="n">
        <x:v>46066</x:v>
      </x:c>
      <x:c r="B29" t="str">
        <x:v>Daire 6 - Buse Özdemir 02/2026 aidat</x:v>
      </x:c>
      <x:c r="C29" t="str">
        <x:v>Giriş</x:v>
      </x:c>
      <x:c r="D29" s="22" t="n">
        <x:v>1542.71</x:v>
      </x:c>
      <x:c r="E29" s="22" t="n">
        <x:v>0</x:v>
      </x:c>
      <x:c r="F29" s="22" t="n">
        <x:v>41664.32000000001</x:v>
      </x:c>
      <x:c r="G29" t="str">
        <x:v>Aidat</x:v>
      </x:c>
      <x:c r="H29" t="str">
        <x:v>B002-R006-02</x:v>
      </x:c>
    </x:row>
    <x:row r="30">
      <x:c r="A30" s="20" t="n">
        <x:v>46066</x:v>
      </x:c>
      <x:c r="B30" t="str">
        <x:v>Daire 8 - Derya Koç 02/2026 aidat</x:v>
      </x:c>
      <x:c r="C30" t="str">
        <x:v>Giriş</x:v>
      </x:c>
      <x:c r="D30" s="22" t="n">
        <x:v>2065.67</x:v>
      </x:c>
      <x:c r="E30" s="22" t="n">
        <x:v>0</x:v>
      </x:c>
      <x:c r="F30" s="22" t="n">
        <x:v>43729.990000000005</x:v>
      </x:c>
      <x:c r="G30" t="str">
        <x:v>Aidat</x:v>
      </x:c>
      <x:c r="H30" t="str">
        <x:v>B002-R008-02</x:v>
      </x:c>
    </x:row>
    <x:row r="31">
      <x:c r="A31" s="20" t="n">
        <x:v>46066</x:v>
      </x:c>
      <x:c r="B31" t="str">
        <x:v>Aylık asansör bakımı</x:v>
      </x:c>
      <x:c r="C31" t="str">
        <x:v>Çıkış</x:v>
      </x:c>
      <x:c r="D31" s="22" t="n">
        <x:v>0</x:v>
      </x:c>
      <x:c r="E31" s="22" t="n">
        <x:v>2100</x:v>
      </x:c>
      <x:c r="F31" s="22" t="n">
        <x:v>41629.990000000005</x:v>
      </x:c>
      <x:c r="G31" t="str">
        <x:v>Asansör Bakımı</x:v>
      </x:c>
      <x:c r="H31" t="str">
        <x:v>B002-G0015</x:v>
      </x:c>
    </x:row>
    <x:row r="32">
      <x:c r="A32" s="20" t="n">
        <x:v>46070</x:v>
      </x:c>
      <x:c r="B32" t="str">
        <x:v>Jeneratör akü ve filtre kontrolü</x:v>
      </x:c>
      <x:c r="C32" t="str">
        <x:v>Çıkış</x:v>
      </x:c>
      <x:c r="D32" s="22" t="n">
        <x:v>0</x:v>
      </x:c>
      <x:c r="E32" s="22" t="n">
        <x:v>2400</x:v>
      </x:c>
      <x:c r="F32" s="22" t="n">
        <x:v>39229.990000000005</x:v>
      </x:c>
      <x:c r="G32" t="str">
        <x:v>Jeneratör Bakımı</x:v>
      </x:c>
      <x:c r="H32" t="str">
        <x:v>B002-G0016</x:v>
      </x:c>
    </x:row>
    <x:row r="33">
      <x:c r="A33" s="20" t="n">
        <x:v>46074</x:v>
      </x:c>
      <x:c r="B33" t="str">
        <x:v>Yangın tüpü kontrol ve dolumu</x:v>
      </x:c>
      <x:c r="C33" t="str">
        <x:v>Çıkış</x:v>
      </x:c>
      <x:c r="D33" s="22" t="n">
        <x:v>0</x:v>
      </x:c>
      <x:c r="E33" s="22" t="n">
        <x:v>4200</x:v>
      </x:c>
      <x:c r="F33" s="22" t="n">
        <x:v>35029.990000000005</x:v>
      </x:c>
      <x:c r="G33" t="str">
        <x:v>Yangın Sistemleri</x:v>
      </x:c>
      <x:c r="H33" t="str">
        <x:v>B002-G0017</x:v>
      </x:c>
    </x:row>
    <x:row r="34">
      <x:c r="A34" s="20" t="n">
        <x:v>46078</x:v>
      </x:c>
      <x:c r="B34" t="str">
        <x:v>Yönetim hizmet bedeli</x:v>
      </x:c>
      <x:c r="C34" t="str">
        <x:v>Çıkış</x:v>
      </x:c>
      <x:c r="D34" s="22" t="n">
        <x:v>0</x:v>
      </x:c>
      <x:c r="E34" s="22" t="n">
        <x:v>2500</x:v>
      </x:c>
      <x:c r="F34" s="22" t="n">
        <x:v>32529.990000000005</x:v>
      </x:c>
      <x:c r="G34" t="str">
        <x:v>Yönetim Hizmeti</x:v>
      </x:c>
      <x:c r="H34" t="str">
        <x:v>B002-G0018</x:v>
      </x:c>
    </x:row>
    <x:row r="35">
      <x:c r="A35" s="20" t="n">
        <x:v>46086</x:v>
      </x:c>
      <x:c r="B35" t="str">
        <x:v>Mart ortak alan elektrik</x:v>
      </x:c>
      <x:c r="C35" t="str">
        <x:v>Çıkış</x:v>
      </x:c>
      <x:c r="D35" s="22" t="n">
        <x:v>0</x:v>
      </x:c>
      <x:c r="E35" s="22" t="n">
        <x:v>1580</x:v>
      </x:c>
      <x:c r="F35" s="22" t="n">
        <x:v>30949.990000000005</x:v>
      </x:c>
      <x:c r="G35" t="str">
        <x:v>Ortak Alan Elektrik</x:v>
      </x:c>
      <x:c r="H35" t="str">
        <x:v>B002-G0019</x:v>
      </x:c>
    </x:row>
    <x:row r="36">
      <x:c r="A36" s="20" t="n">
        <x:v>46087</x:v>
      </x:c>
      <x:c r="B36" t="str">
        <x:v>Daire 10 - Zeynep Eren 03/2026 aidat</x:v>
      </x:c>
      <x:c r="C36" t="str">
        <x:v>Giriş</x:v>
      </x:c>
      <x:c r="D36" s="22" t="n">
        <x:v>2002.79</x:v>
      </x:c>
      <x:c r="E36" s="22" t="n">
        <x:v>0</x:v>
      </x:c>
      <x:c r="F36" s="22" t="n">
        <x:v>32952.780000000006</x:v>
      </x:c>
      <x:c r="G36" t="str">
        <x:v>Aidat</x:v>
      </x:c>
      <x:c r="H36" t="str">
        <x:v>B002-R010-03</x:v>
      </x:c>
    </x:row>
    <x:row r="37">
      <x:c r="A37" s="20" t="n">
        <x:v>46088</x:v>
      </x:c>
      <x:c r="B37" t="str">
        <x:v>Daire 3 - Mehmet Özdemir 03/2026 aidat</x:v>
      </x:c>
      <x:c r="C37" t="str">
        <x:v>Giriş</x:v>
      </x:c>
      <x:c r="D37" s="22" t="n">
        <x:v>1450.3</x:v>
      </x:c>
      <x:c r="E37" s="22" t="n">
        <x:v>0</x:v>
      </x:c>
      <x:c r="F37" s="22" t="n">
        <x:v>34403.08000000001</x:v>
      </x:c>
      <x:c r="G37" t="str">
        <x:v>Aidat</x:v>
      </x:c>
      <x:c r="H37" t="str">
        <x:v>B002-R003-03</x:v>
      </x:c>
    </x:row>
    <x:row r="38">
      <x:c r="A38" s="20" t="n">
        <x:v>46089</x:v>
      </x:c>
      <x:c r="B38" t="str">
        <x:v>Daire 8 - Derya Koç 03/2026 aidat</x:v>
      </x:c>
      <x:c r="C38" t="str">
        <x:v>Giriş</x:v>
      </x:c>
      <x:c r="D38" s="22" t="n">
        <x:v>2182.36</x:v>
      </x:c>
      <x:c r="E38" s="22" t="n">
        <x:v>0</x:v>
      </x:c>
      <x:c r="F38" s="22" t="n">
        <x:v>36585.44000000001</x:v>
      </x:c>
      <x:c r="G38" t="str">
        <x:v>Aidat</x:v>
      </x:c>
      <x:c r="H38" t="str">
        <x:v>B002-R008-03</x:v>
      </x:c>
    </x:row>
    <x:row r="39">
      <x:c r="A39" s="20" t="n">
        <x:v>46090</x:v>
      </x:c>
      <x:c r="B39" t="str">
        <x:v>Mart ortak alan su</x:v>
      </x:c>
      <x:c r="C39" t="str">
        <x:v>Çıkış</x:v>
      </x:c>
      <x:c r="D39" s="22" t="n">
        <x:v>0</x:v>
      </x:c>
      <x:c r="E39" s="22" t="n">
        <x:v>890</x:v>
      </x:c>
      <x:c r="F39" s="22" t="n">
        <x:v>35695.44000000001</x:v>
      </x:c>
      <x:c r="G39" t="str">
        <x:v>Ortak Alan Su</x:v>
      </x:c>
      <x:c r="H39" t="str">
        <x:v>B002-G0020</x:v>
      </x:c>
    </x:row>
    <x:row r="40">
      <x:c r="A40" s="20" t="n">
        <x:v>46091</x:v>
      </x:c>
      <x:c r="B40" t="str">
        <x:v>Daire 7 - Deniz Polat 03/2026 aidat</x:v>
      </x:c>
      <x:c r="C40" t="str">
        <x:v>Giriş</x:v>
      </x:c>
      <x:c r="D40" s="22" t="n">
        <x:v>994.49</x:v>
      </x:c>
      <x:c r="E40" s="22" t="n">
        <x:v>0</x:v>
      </x:c>
      <x:c r="F40" s="22" t="n">
        <x:v>36689.93000000001</x:v>
      </x:c>
      <x:c r="G40" t="str">
        <x:v>Aidat</x:v>
      </x:c>
      <x:c r="H40" t="str">
        <x:v>B002-R007-03</x:v>
      </x:c>
    </x:row>
    <x:row r="41">
      <x:c r="A41" s="20" t="n">
        <x:v>46092</x:v>
      </x:c>
      <x:c r="B41" t="str">
        <x:v>Daire 9 - Elif Polat 03/2026 aidat</x:v>
      </x:c>
      <x:c r="C41" t="str">
        <x:v>Giriş</x:v>
      </x:c>
      <x:c r="D41" s="22" t="n">
        <x:v>1160.24</x:v>
      </x:c>
      <x:c r="E41" s="22" t="n">
        <x:v>0</x:v>
      </x:c>
      <x:c r="F41" s="22" t="n">
        <x:v>37850.170000000006</x:v>
      </x:c>
      <x:c r="G41" t="str">
        <x:v>Aidat</x:v>
      </x:c>
      <x:c r="H41" t="str">
        <x:v>B002-R009-03</x:v>
      </x:c>
    </x:row>
    <x:row r="42">
      <x:c r="A42" s="20" t="n">
        <x:v>46094</x:v>
      </x:c>
      <x:c r="B42" t="str">
        <x:v>Aylık asansör bakımı</x:v>
      </x:c>
      <x:c r="C42" t="str">
        <x:v>Çıkış</x:v>
      </x:c>
      <x:c r="D42" s="22" t="n">
        <x:v>0</x:v>
      </x:c>
      <x:c r="E42" s="22" t="n">
        <x:v>2100</x:v>
      </x:c>
      <x:c r="F42" s="22" t="n">
        <x:v>35750.170000000006</x:v>
      </x:c>
      <x:c r="G42" t="str">
        <x:v>Asansör Bakımı</x:v>
      </x:c>
      <x:c r="H42" t="str">
        <x:v>B002-G0021</x:v>
      </x:c>
    </x:row>
    <x:row r="43">
      <x:c r="A43" s="20" t="n">
        <x:v>46106</x:v>
      </x:c>
      <x:c r="B43" t="str">
        <x:v>Yönetim hizmet bedeli</x:v>
      </x:c>
      <x:c r="C43" t="str">
        <x:v>Çıkış</x:v>
      </x:c>
      <x:c r="D43" s="22" t="n">
        <x:v>0</x:v>
      </x:c>
      <x:c r="E43" s="22" t="n">
        <x:v>2500</x:v>
      </x:c>
      <x:c r="F43" s="22" t="n">
        <x:v>33250.170000000006</x:v>
      </x:c>
      <x:c r="G43" t="str">
        <x:v>Yönetim Hizmeti</x:v>
      </x:c>
      <x:c r="H43" t="str">
        <x:v>B002-G0024</x:v>
      </x:c>
    </x:row>
    <x:row r="44">
      <x:c r="A44" s="20" t="n">
        <x:v>46116</x:v>
      </x:c>
      <x:c r="B44" t="str">
        <x:v>Daire 4 - Onur Özdemir 04/2026 aidat</x:v>
      </x:c>
      <x:c r="C44" t="str">
        <x:v>Giriş</x:v>
      </x:c>
      <x:c r="D44" s="22" t="n">
        <x:v>941.28</x:v>
      </x:c>
      <x:c r="E44" s="22" t="n">
        <x:v>0</x:v>
      </x:c>
      <x:c r="F44" s="22" t="n">
        <x:v>34191.450000000004</x:v>
      </x:c>
      <x:c r="G44" t="str">
        <x:v>Aidat</x:v>
      </x:c>
      <x:c r="H44" t="str">
        <x:v>B002-R004-04</x:v>
      </x:c>
    </x:row>
    <x:row r="45">
      <x:c r="A45" s="20" t="n">
        <x:v>46117</x:v>
      </x:c>
      <x:c r="B45" t="str">
        <x:v>Daire 9 - Elif Polat 04/2026 aidat</x:v>
      </x:c>
      <x:c r="C45" t="str">
        <x:v>Giriş</x:v>
      </x:c>
      <x:c r="D45" s="22" t="n">
        <x:v>1162.75</x:v>
      </x:c>
      <x:c r="E45" s="22" t="n">
        <x:v>0</x:v>
      </x:c>
      <x:c r="F45" s="22" t="n">
        <x:v>35354.200000000004</x:v>
      </x:c>
      <x:c r="G45" t="str">
        <x:v>Aidat</x:v>
      </x:c>
      <x:c r="H45" t="str">
        <x:v>B002-R009-04</x:v>
      </x:c>
    </x:row>
    <x:row r="46">
      <x:c r="A46" s="20" t="n">
        <x:v>46117</x:v>
      </x:c>
      <x:c r="B46" t="str">
        <x:v>Nisan ortak alan elektrik</x:v>
      </x:c>
      <x:c r="C46" t="str">
        <x:v>Çıkış</x:v>
      </x:c>
      <x:c r="D46" s="22" t="n">
        <x:v>0</x:v>
      </x:c>
      <x:c r="E46" s="22" t="n">
        <x:v>1690</x:v>
      </x:c>
      <x:c r="F46" s="22" t="n">
        <x:v>33664.200000000004</x:v>
      </x:c>
      <x:c r="G46" t="str">
        <x:v>Ortak Alan Elektrik</x:v>
      </x:c>
      <x:c r="H46" t="str">
        <x:v>B002-G0025</x:v>
      </x:c>
    </x:row>
    <x:row r="47">
      <x:c r="A47" s="20" t="n">
        <x:v>46119</x:v>
      </x:c>
      <x:c r="B47" t="str">
        <x:v>Daire 7 - Deniz Polat 04/2026 aidat</x:v>
      </x:c>
      <x:c r="C47" t="str">
        <x:v>Giriş</x:v>
      </x:c>
      <x:c r="D47" s="22" t="n">
        <x:v>996.65</x:v>
      </x:c>
      <x:c r="E47" s="22" t="n">
        <x:v>0</x:v>
      </x:c>
      <x:c r="F47" s="22" t="n">
        <x:v>34660.850000000006</x:v>
      </x:c>
      <x:c r="G47" t="str">
        <x:v>Aidat</x:v>
      </x:c>
      <x:c r="H47" t="str">
        <x:v>B002-R007-04</x:v>
      </x:c>
    </x:row>
    <x:row r="48">
      <x:c r="A48" s="20" t="n">
        <x:v>46120</x:v>
      </x:c>
      <x:c r="B48" t="str">
        <x:v>Daire 3 - Mehmet Özdemir 04/2026 aidat</x:v>
      </x:c>
      <x:c r="C48" t="str">
        <x:v>Giriş</x:v>
      </x:c>
      <x:c r="D48" s="22" t="n">
        <x:v>1453.44</x:v>
      </x:c>
      <x:c r="E48" s="22" t="n">
        <x:v>0</x:v>
      </x:c>
      <x:c r="F48" s="22" t="n">
        <x:v>36114.29000000001</x:v>
      </x:c>
      <x:c r="G48" t="str">
        <x:v>Aidat</x:v>
      </x:c>
      <x:c r="H48" t="str">
        <x:v>B002-R003-04</x:v>
      </x:c>
    </x:row>
    <x:row r="49">
      <x:c r="A49" s="20" t="n">
        <x:v>46121</x:v>
      </x:c>
      <x:c r="B49" t="str">
        <x:v>Daire 5 - Selin Kılıç 04/2026 aidat</x:v>
      </x:c>
      <x:c r="C49" t="str">
        <x:v>Giriş</x:v>
      </x:c>
      <x:c r="D49" s="22" t="n">
        <x:v>1328.86</x:v>
      </x:c>
      <x:c r="E49" s="22" t="n">
        <x:v>0</x:v>
      </x:c>
      <x:c r="F49" s="22" t="n">
        <x:v>37443.15000000001</x:v>
      </x:c>
      <x:c r="G49" t="str">
        <x:v>Aidat</x:v>
      </x:c>
      <x:c r="H49" t="str">
        <x:v>B002-R005-04</x:v>
      </x:c>
    </x:row>
    <x:row r="50">
      <x:c r="A50" s="20" t="n">
        <x:v>46121</x:v>
      </x:c>
      <x:c r="B50" t="str">
        <x:v>Nisan ortak alan su</x:v>
      </x:c>
      <x:c r="C50" t="str">
        <x:v>Çıkış</x:v>
      </x:c>
      <x:c r="D50" s="22" t="n">
        <x:v>0</x:v>
      </x:c>
      <x:c r="E50" s="22" t="n">
        <x:v>910</x:v>
      </x:c>
      <x:c r="F50" s="22" t="n">
        <x:v>36533.15000000001</x:v>
      </x:c>
      <x:c r="G50" t="str">
        <x:v>Ortak Alan Su</x:v>
      </x:c>
      <x:c r="H50" t="str">
        <x:v>B002-G0026</x:v>
      </x:c>
    </x:row>
    <x:row r="51">
      <x:c r="A51" s="20" t="n">
        <x:v>46122</x:v>
      </x:c>
      <x:c r="B51" t="str">
        <x:v>Daire 8 - Derya Koç 04/2026 aidat</x:v>
      </x:c>
      <x:c r="C51" t="str">
        <x:v>Giriş</x:v>
      </x:c>
      <x:c r="D51" s="22" t="n">
        <x:v>2187.09</x:v>
      </x:c>
      <x:c r="E51" s="22" t="n">
        <x:v>0</x:v>
      </x:c>
      <x:c r="F51" s="22" t="n">
        <x:v>38720.240000000005</x:v>
      </x:c>
      <x:c r="G51" t="str">
        <x:v>Aidat</x:v>
      </x:c>
      <x:c r="H51" t="str">
        <x:v>B002-R008-04</x:v>
      </x:c>
    </x:row>
    <x:row r="52">
      <x:c r="A52" s="20" t="n">
        <x:v>46123</x:v>
      </x:c>
      <x:c r="B52" t="str">
        <x:v>Daire 1 - Pelin Yıldız 04/2026 aidat</x:v>
      </x:c>
      <x:c r="C52" t="str">
        <x:v>Giriş</x:v>
      </x:c>
      <x:c r="D52" s="22" t="n">
        <x:v>1079.7</x:v>
      </x:c>
      <x:c r="E52" s="22" t="n">
        <x:v>0</x:v>
      </x:c>
      <x:c r="F52" s="22" t="n">
        <x:v>39799.94</x:v>
      </x:c>
      <x:c r="G52" t="str">
        <x:v>Aidat</x:v>
      </x:c>
      <x:c r="H52" t="str">
        <x:v>B002-R001-04</x:v>
      </x:c>
    </x:row>
    <x:row r="53">
      <x:c r="A53" s="20" t="n">
        <x:v>46123</x:v>
      </x:c>
      <x:c r="B53" t="str">
        <x:v>Daire 2 - Burak Kılıç 04/2026 aidat</x:v>
      </x:c>
      <x:c r="C53" t="str">
        <x:v>Giriş</x:v>
      </x:c>
      <x:c r="D53" s="22" t="n">
        <x:v>1079.7</x:v>
      </x:c>
      <x:c r="E53" s="22" t="n">
        <x:v>0</x:v>
      </x:c>
      <x:c r="F53" s="22" t="n">
        <x:v>40879.64</x:v>
      </x:c>
      <x:c r="G53" t="str">
        <x:v>Aidat</x:v>
      </x:c>
      <x:c r="H53" t="str">
        <x:v>B002-R002-04</x:v>
      </x:c>
    </x:row>
    <x:row r="54">
      <x:c r="A54" s="20" t="n">
        <x:v>46124</x:v>
      </x:c>
      <x:c r="B54" t="str">
        <x:v>Daire 6 - Buse Özdemir 04/2026 aidat</x:v>
      </x:c>
      <x:c r="C54" t="str">
        <x:v>Giriş</x:v>
      </x:c>
      <x:c r="D54" s="22" t="n">
        <x:v>1633.39</x:v>
      </x:c>
      <x:c r="E54" s="22" t="n">
        <x:v>0</x:v>
      </x:c>
      <x:c r="F54" s="22" t="n">
        <x:v>42513.03</x:v>
      </x:c>
      <x:c r="G54" t="str">
        <x:v>Aidat</x:v>
      </x:c>
      <x:c r="H54" t="str">
        <x:v>B002-R006-04</x:v>
      </x:c>
    </x:row>
    <x:row r="55">
      <x:c r="A55" s="20" t="n">
        <x:v>46125</x:v>
      </x:c>
      <x:c r="B55" t="str">
        <x:v>Daire 10 - Zeynep Eren 04/2026 aidat</x:v>
      </x:c>
      <x:c r="C55" t="str">
        <x:v>Giriş</x:v>
      </x:c>
      <x:c r="D55" s="22" t="n">
        <x:v>2007.14</x:v>
      </x:c>
      <x:c r="E55" s="22" t="n">
        <x:v>0</x:v>
      </x:c>
      <x:c r="F55" s="22" t="n">
        <x:v>44520.17</x:v>
      </x:c>
      <x:c r="G55" t="str">
        <x:v>Aidat</x:v>
      </x:c>
      <x:c r="H55" t="str">
        <x:v>B002-R010-04</x:v>
      </x:c>
    </x:row>
    <x:row r="56">
      <x:c r="A56" s="20" t="n">
        <x:v>46125</x:v>
      </x:c>
      <x:c r="B56" t="str">
        <x:v>Aylık asansör bakımı</x:v>
      </x:c>
      <x:c r="C56" t="str">
        <x:v>Çıkış</x:v>
      </x:c>
      <x:c r="D56" s="22" t="n">
        <x:v>0</x:v>
      </x:c>
      <x:c r="E56" s="22" t="n">
        <x:v>2200</x:v>
      </x:c>
      <x:c r="F56" s="22" t="n">
        <x:v>42320.17</x:v>
      </x:c>
      <x:c r="G56" t="str">
        <x:v>Asansör Bakımı</x:v>
      </x:c>
      <x:c r="H56" t="str">
        <x:v>B002-G0027</x:v>
      </x:c>
    </x:row>
    <x:row r="57">
      <x:c r="A57" s="20" t="n">
        <x:v>46129</x:v>
      </x:c>
      <x:c r="B57" t="str">
        <x:v>Hidrofor parça değişimi</x:v>
      </x:c>
      <x:c r="C57" t="str">
        <x:v>Çıkış</x:v>
      </x:c>
      <x:c r="D57" s="22" t="n">
        <x:v>0</x:v>
      </x:c>
      <x:c r="E57" s="22" t="n">
        <x:v>6200</x:v>
      </x:c>
      <x:c r="F57" s="22" t="n">
        <x:v>36120.17</x:v>
      </x:c>
      <x:c r="G57" t="str">
        <x:v>Hidrofor Bakımı</x:v>
      </x:c>
      <x:c r="H57" t="str">
        <x:v>B002-G0028</x:v>
      </x:c>
    </x:row>
    <x:row r="58">
      <x:c r="A58" s="20" t="n">
        <x:v>46137</x:v>
      </x:c>
      <x:c r="B58" t="str">
        <x:v>Yönetim hizmet bedeli</x:v>
      </x:c>
      <x:c r="C58" t="str">
        <x:v>Çıkış</x:v>
      </x:c>
      <x:c r="D58" s="22" t="n">
        <x:v>0</x:v>
      </x:c>
      <x:c r="E58" s="22" t="n">
        <x:v>2500</x:v>
      </x:c>
      <x:c r="F58" s="22" t="n">
        <x:v>33620.17</x:v>
      </x:c>
      <x:c r="G58" t="str">
        <x:v>Yönetim Hizmeti</x:v>
      </x:c>
      <x:c r="H58" t="str">
        <x:v>B002-G0030</x:v>
      </x:c>
    </x:row>
    <x:row r="59">
      <x:c r="A59" s="20" t="n">
        <x:v>46146</x:v>
      </x:c>
      <x:c r="B59" t="str">
        <x:v>Daire 2 - Burak Kılıç 05/2026 aidat</x:v>
      </x:c>
      <x:c r="C59" t="str">
        <x:v>Giriş</x:v>
      </x:c>
      <x:c r="D59" s="22" t="n">
        <x:v>1253.29</x:v>
      </x:c>
      <x:c r="E59" s="22" t="n">
        <x:v>0</x:v>
      </x:c>
      <x:c r="F59" s="22" t="n">
        <x:v>34873.46</x:v>
      </x:c>
      <x:c r="G59" t="str">
        <x:v>Aidat</x:v>
      </x:c>
      <x:c r="H59" t="str">
        <x:v>B002-R002-05</x:v>
      </x:c>
    </x:row>
    <x:row r="60">
      <x:c r="A60" s="20" t="n">
        <x:v>46147</x:v>
      </x:c>
      <x:c r="B60" t="str">
        <x:v>Mayıs ortak alan elektrik</x:v>
      </x:c>
      <x:c r="C60" t="str">
        <x:v>Çıkış</x:v>
      </x:c>
      <x:c r="D60" s="22" t="n">
        <x:v>0</x:v>
      </x:c>
      <x:c r="E60" s="22" t="n">
        <x:v>1810</x:v>
      </x:c>
      <x:c r="F60" s="22" t="n">
        <x:v>33063.46</x:v>
      </x:c>
      <x:c r="G60" t="str">
        <x:v>Ortak Alan Elektrik</x:v>
      </x:c>
      <x:c r="H60" t="str">
        <x:v>B002-G0031</x:v>
      </x:c>
    </x:row>
    <x:row r="61">
      <x:c r="A61" s="20" t="n">
        <x:v>46150</x:v>
      </x:c>
      <x:c r="B61" t="str">
        <x:v>Daire 8 - Derya Koç 05/2026 aidat</x:v>
      </x:c>
      <x:c r="C61" t="str">
        <x:v>Giriş</x:v>
      </x:c>
      <x:c r="D61" s="22" t="n">
        <x:v>2538.72</x:v>
      </x:c>
      <x:c r="E61" s="22" t="n">
        <x:v>0</x:v>
      </x:c>
      <x:c r="F61" s="22" t="n">
        <x:v>35602.18</x:v>
      </x:c>
      <x:c r="G61" t="str">
        <x:v>Aidat</x:v>
      </x:c>
      <x:c r="H61" t="str">
        <x:v>B002-R008-05</x:v>
      </x:c>
    </x:row>
    <x:row r="62">
      <x:c r="A62" s="20" t="n">
        <x:v>46151</x:v>
      </x:c>
      <x:c r="B62" t="str">
        <x:v>Daire 3 - Mehmet Özdemir 05/2026 aidat</x:v>
      </x:c>
      <x:c r="C62" t="str">
        <x:v>Giriş</x:v>
      </x:c>
      <x:c r="D62" s="22" t="n">
        <x:v>1687.13</x:v>
      </x:c>
      <x:c r="E62" s="22" t="n">
        <x:v>0</x:v>
      </x:c>
      <x:c r="F62" s="22" t="n">
        <x:v>37289.31</x:v>
      </x:c>
      <x:c r="G62" t="str">
        <x:v>Aidat</x:v>
      </x:c>
      <x:c r="H62" t="str">
        <x:v>B002-R003-05</x:v>
      </x:c>
    </x:row>
    <x:row r="63">
      <x:c r="A63" s="20" t="n">
        <x:v>46151</x:v>
      </x:c>
      <x:c r="B63" t="str">
        <x:v>Daire 4 - Onur Özdemir 05/2026 aidat</x:v>
      </x:c>
      <x:c r="C63" t="str">
        <x:v>Giriş</x:v>
      </x:c>
      <x:c r="D63" s="22" t="n">
        <x:v>1092.61</x:v>
      </x:c>
      <x:c r="E63" s="22" t="n">
        <x:v>0</x:v>
      </x:c>
      <x:c r="F63" s="22" t="n">
        <x:v>38381.92</x:v>
      </x:c>
      <x:c r="G63" t="str">
        <x:v>Aidat</x:v>
      </x:c>
      <x:c r="H63" t="str">
        <x:v>B002-R004-05</x:v>
      </x:c>
    </x:row>
    <x:row r="64">
      <x:c r="A64" s="20" t="n">
        <x:v>46151</x:v>
      </x:c>
      <x:c r="B64" t="str">
        <x:v>Daire 5 - Selin Kılıç 05/2026 aidat</x:v>
      </x:c>
      <x:c r="C64" t="str">
        <x:v>Giriş</x:v>
      </x:c>
      <x:c r="D64" s="22" t="n">
        <x:v>1542.51</x:v>
      </x:c>
      <x:c r="E64" s="22" t="n">
        <x:v>0</x:v>
      </x:c>
      <x:c r="F64" s="22" t="n">
        <x:v>39924.43</x:v>
      </x:c>
      <x:c r="G64" t="str">
        <x:v>Aidat</x:v>
      </x:c>
      <x:c r="H64" t="str">
        <x:v>B002-R005-05</x:v>
      </x:c>
    </x:row>
    <x:row r="65">
      <x:c r="A65" s="20" t="n">
        <x:v>46151</x:v>
      </x:c>
      <x:c r="B65" t="str">
        <x:v>Mayıs ortak alan su</x:v>
      </x:c>
      <x:c r="C65" t="str">
        <x:v>Çıkış</x:v>
      </x:c>
      <x:c r="D65" s="22" t="n">
        <x:v>0</x:v>
      </x:c>
      <x:c r="E65" s="22" t="n">
        <x:v>980</x:v>
      </x:c>
      <x:c r="F65" s="22" t="n">
        <x:v>38944.43</x:v>
      </x:c>
      <x:c r="G65" t="str">
        <x:v>Ortak Alan Su</x:v>
      </x:c>
      <x:c r="H65" t="str">
        <x:v>B002-G0032</x:v>
      </x:c>
    </x:row>
    <x:row r="66">
      <x:c r="A66" s="20" t="n">
        <x:v>46152</x:v>
      </x:c>
      <x:c r="B66" t="str">
        <x:v>Daire 1 - Pelin Yıldız 05/2026 aidat</x:v>
      </x:c>
      <x:c r="C66" t="str">
        <x:v>Giriş</x:v>
      </x:c>
      <x:c r="D66" s="22" t="n">
        <x:v>1253.29</x:v>
      </x:c>
      <x:c r="E66" s="22" t="n">
        <x:v>0</x:v>
      </x:c>
      <x:c r="F66" s="22" t="n">
        <x:v>40197.72</x:v>
      </x:c>
      <x:c r="G66" t="str">
        <x:v>Aidat</x:v>
      </x:c>
      <x:c r="H66" t="str">
        <x:v>B002-R001-05</x:v>
      </x:c>
    </x:row>
    <x:row r="67">
      <x:c r="A67" s="20" t="n">
        <x:v>46152</x:v>
      </x:c>
      <x:c r="B67" t="str">
        <x:v>Daire 6 - Buse Özdemir 05/2026 aidat</x:v>
      </x:c>
      <x:c r="C67" t="str">
        <x:v>Giriş</x:v>
      </x:c>
      <x:c r="D67" s="22" t="n">
        <x:v>1896.01</x:v>
      </x:c>
      <x:c r="E67" s="22" t="n">
        <x:v>0</x:v>
      </x:c>
      <x:c r="F67" s="22" t="n">
        <x:v>42093.73</x:v>
      </x:c>
      <x:c r="G67" t="str">
        <x:v>Aidat</x:v>
      </x:c>
      <x:c r="H67" t="str">
        <x:v>B002-R006-05</x:v>
      </x:c>
    </x:row>
    <x:row r="68">
      <x:c r="A68" s="20" t="n">
        <x:v>46155</x:v>
      </x:c>
      <x:c r="B68" t="str">
        <x:v>Daire 10 - Zeynep Eren 05/2026 aidat</x:v>
      </x:c>
      <x:c r="C68" t="str">
        <x:v>Giriş</x:v>
      </x:c>
      <x:c r="D68" s="22" t="n">
        <x:v>2329.84</x:v>
      </x:c>
      <x:c r="E68" s="22" t="n">
        <x:v>0</x:v>
      </x:c>
      <x:c r="F68" s="22" t="n">
        <x:v>44423.57000000001</x:v>
      </x:c>
      <x:c r="G68" t="str">
        <x:v>Aidat</x:v>
      </x:c>
      <x:c r="H68" t="str">
        <x:v>B002-R010-05</x:v>
      </x:c>
    </x:row>
    <x:row r="69">
      <x:c r="A69" s="20" t="n">
        <x:v>46155</x:v>
      </x:c>
      <x:c r="B69" t="str">
        <x:v>Aylık asansör bakımı</x:v>
      </x:c>
      <x:c r="C69" t="str">
        <x:v>Çıkış</x:v>
      </x:c>
      <x:c r="D69" s="22" t="n">
        <x:v>0</x:v>
      </x:c>
      <x:c r="E69" s="22" t="n">
        <x:v>2200</x:v>
      </x:c>
      <x:c r="F69" s="22" t="n">
        <x:v>42223.57000000001</x:v>
      </x:c>
      <x:c r="G69" t="str">
        <x:v>Asansör Bakımı</x:v>
      </x:c>
      <x:c r="H69" t="str">
        <x:v>B002-G0033</x:v>
      </x:c>
    </x:row>
    <x:row r="70">
      <x:c r="A70" s="20" t="n">
        <x:v>46157</x:v>
      </x:c>
      <x:c r="B70" t="str">
        <x:v>Daire 7 - Deniz Polat 05/2026 aidat</x:v>
      </x:c>
      <x:c r="C70" t="str">
        <x:v>Giriş</x:v>
      </x:c>
      <x:c r="D70" s="22" t="n">
        <x:v>578.44</x:v>
      </x:c>
      <x:c r="E70" s="22" t="n">
        <x:v>0</x:v>
      </x:c>
      <x:c r="F70" s="22" t="n">
        <x:v>42802.01000000001</x:v>
      </x:c>
      <x:c r="G70" t="str">
        <x:v>Aidat</x:v>
      </x:c>
      <x:c r="H70" t="str">
        <x:v>B002-R007-05</x:v>
      </x:c>
    </x:row>
    <x:row r="71">
      <x:c r="A71" s="20" t="n">
        <x:v>46157</x:v>
      </x:c>
      <x:c r="B71" t="str">
        <x:v>Daire 9 - Elif Polat 05/2026 aidat</x:v>
      </x:c>
      <x:c r="C71" t="str">
        <x:v>Giriş</x:v>
      </x:c>
      <x:c r="D71" s="22" t="n">
        <x:v>674.85</x:v>
      </x:c>
      <x:c r="E71" s="22" t="n">
        <x:v>0</x:v>
      </x:c>
      <x:c r="F71" s="22" t="n">
        <x:v>43476.86000000001</x:v>
      </x:c>
      <x:c r="G71" t="str">
        <x:v>Aidat</x:v>
      </x:c>
      <x:c r="H71" t="str">
        <x:v>B002-R009-05</x:v>
      </x:c>
    </x:row>
    <x:row r="72">
      <x:c r="A72" s="20" t="n">
        <x:v>46159</x:v>
      </x:c>
      <x:c r="B72" t="str">
        <x:v>Jeneratör yağ ve filtre bakımı</x:v>
      </x:c>
      <x:c r="C72" t="str">
        <x:v>Çıkış</x:v>
      </x:c>
      <x:c r="D72" s="22" t="n">
        <x:v>0</x:v>
      </x:c>
      <x:c r="E72" s="22" t="n">
        <x:v>3600</x:v>
      </x:c>
      <x:c r="F72" s="22" t="n">
        <x:v>39876.86000000001</x:v>
      </x:c>
      <x:c r="G72" t="str">
        <x:v>Jeneratör Bakımı</x:v>
      </x:c>
      <x:c r="H72" t="str">
        <x:v>B002-G0034</x:v>
      </x:c>
    </x:row>
    <x:row r="73">
      <x:c r="A73" s="20" t="n">
        <x:v>46167</x:v>
      </x:c>
      <x:c r="B73" t="str">
        <x:v>Yönetim hizmet bedeli</x:v>
      </x:c>
      <x:c r="C73" t="str">
        <x:v>Çıkış</x:v>
      </x:c>
      <x:c r="D73" s="22" t="n">
        <x:v>0</x:v>
      </x:c>
      <x:c r="E73" s="22" t="n">
        <x:v>2500</x:v>
      </x:c>
      <x:c r="F73" s="22" t="n">
        <x:v>37376.86000000001</x:v>
      </x:c>
      <x:c r="G73" t="str">
        <x:v>Yönetim Hizmeti</x:v>
      </x:c>
      <x:c r="H73" t="str">
        <x:v>B002-G0036</x:v>
      </x:c>
    </x:row>
    <x:row r="74">
      <x:c r="A74" s="20" t="n">
        <x:v>46177</x:v>
      </x:c>
      <x:c r="B74" t="str">
        <x:v>Daire 6 - Buse Özdemir 06/2026 aidat</x:v>
      </x:c>
      <x:c r="C74" t="str">
        <x:v>Giriş</x:v>
      </x:c>
      <x:c r="D74" s="22" t="n">
        <x:v>1659.3</x:v>
      </x:c>
      <x:c r="E74" s="22" t="n">
        <x:v>0</x:v>
      </x:c>
      <x:c r="F74" s="22" t="n">
        <x:v>39036.16000000001</x:v>
      </x:c>
      <x:c r="G74" t="str">
        <x:v>Aidat</x:v>
      </x:c>
      <x:c r="H74" t="str">
        <x:v>B002-R006-06</x:v>
      </x:c>
    </x:row>
    <x:row r="75">
      <x:c r="A75" s="20" t="n">
        <x:v>46178</x:v>
      </x:c>
      <x:c r="B75" t="str">
        <x:v>Haziran ortak alan elektrik</x:v>
      </x:c>
      <x:c r="C75" t="str">
        <x:v>Çıkış</x:v>
      </x:c>
      <x:c r="D75" s="22" t="n">
        <x:v>0</x:v>
      </x:c>
      <x:c r="E75" s="22" t="n">
        <x:v>1940</x:v>
      </x:c>
      <x:c r="F75" s="22" t="n">
        <x:v>37096.16000000001</x:v>
      </x:c>
      <x:c r="G75" t="str">
        <x:v>Ortak Alan Elektrik</x:v>
      </x:c>
      <x:c r="H75" t="str">
        <x:v>B002-G0037</x:v>
      </x:c>
    </x:row>
    <x:row r="76">
      <x:c r="A76" s="20" t="n">
        <x:v>46180</x:v>
      </x:c>
      <x:c r="B76" t="str">
        <x:v>Daire 9 - Elif Polat 06/2026 aidat</x:v>
      </x:c>
      <x:c r="C76" t="str">
        <x:v>Giriş</x:v>
      </x:c>
      <x:c r="D76" s="22" t="n">
        <x:v>1181.2</x:v>
      </x:c>
      <x:c r="E76" s="22" t="n">
        <x:v>0</x:v>
      </x:c>
      <x:c r="F76" s="22" t="n">
        <x:v>38277.36000000001</x:v>
      </x:c>
      <x:c r="G76" t="str">
        <x:v>Aidat</x:v>
      </x:c>
      <x:c r="H76" t="str">
        <x:v>B002-R009-06</x:v>
      </x:c>
    </x:row>
    <x:row r="77">
      <x:c r="A77" s="20" t="n">
        <x:v>46182</x:v>
      </x:c>
      <x:c r="B77" t="str">
        <x:v>Daire 2 - Burak Kılıç 06/2026 aidat</x:v>
      </x:c>
      <x:c r="C77" t="str">
        <x:v>Giriş</x:v>
      </x:c>
      <x:c r="D77" s="22" t="n">
        <x:v>1096.83</x:v>
      </x:c>
      <x:c r="E77" s="22" t="n">
        <x:v>0</x:v>
      </x:c>
      <x:c r="F77" s="22" t="n">
        <x:v>39374.19000000001</x:v>
      </x:c>
      <x:c r="G77" t="str">
        <x:v>Aidat</x:v>
      </x:c>
      <x:c r="H77" t="str">
        <x:v>B002-R002-06</x:v>
      </x:c>
    </x:row>
    <x:row r="78">
      <x:c r="A78" s="20" t="n">
        <x:v>46182</x:v>
      </x:c>
      <x:c r="B78" t="str">
        <x:v>Haziran ortak alan su</x:v>
      </x:c>
      <x:c r="C78" t="str">
        <x:v>Çıkış</x:v>
      </x:c>
      <x:c r="D78" s="22" t="n">
        <x:v>0</x:v>
      </x:c>
      <x:c r="E78" s="22" t="n">
        <x:v>1020</x:v>
      </x:c>
      <x:c r="F78" s="22" t="n">
        <x:v>38354.19000000001</x:v>
      </x:c>
      <x:c r="G78" t="str">
        <x:v>Ortak Alan Su</x:v>
      </x:c>
      <x:c r="H78" t="str">
        <x:v>B002-G0038</x:v>
      </x:c>
    </x:row>
    <x:row r="79">
      <x:c r="A79" s="20" t="n">
        <x:v>46183</x:v>
      </x:c>
      <x:c r="B79" t="str">
        <x:v>Daire 1 - Pelin Yıldız 06/2026 aidat</x:v>
      </x:c>
      <x:c r="C79" t="str">
        <x:v>Giriş</x:v>
      </x:c>
      <x:c r="D79" s="22" t="n">
        <x:v>1096.83</x:v>
      </x:c>
      <x:c r="E79" s="22" t="n">
        <x:v>0</x:v>
      </x:c>
      <x:c r="F79" s="22" t="n">
        <x:v>39451.02000000001</x:v>
      </x:c>
      <x:c r="G79" t="str">
        <x:v>Aidat</x:v>
      </x:c>
      <x:c r="H79" t="str">
        <x:v>B002-R001-06</x:v>
      </x:c>
    </x:row>
    <x:row r="80">
      <x:c r="A80" s="20" t="n">
        <x:v>46183</x:v>
      </x:c>
      <x:c r="B80" t="str">
        <x:v>Daire 7 - Deniz Polat 06/2026 aidat</x:v>
      </x:c>
      <x:c r="C80" t="str">
        <x:v>Giriş</x:v>
      </x:c>
      <x:c r="D80" s="22" t="n">
        <x:v>1012.46</x:v>
      </x:c>
      <x:c r="E80" s="22" t="n">
        <x:v>0</x:v>
      </x:c>
      <x:c r="F80" s="22" t="n">
        <x:v>40463.48000000001</x:v>
      </x:c>
      <x:c r="G80" t="str">
        <x:v>Aidat</x:v>
      </x:c>
      <x:c r="H80" t="str">
        <x:v>B002-R007-06</x:v>
      </x:c>
    </x:row>
    <x:row r="81">
      <x:c r="A81" s="20" t="n">
        <x:v>46183</x:v>
      </x:c>
      <x:c r="B81" t="str">
        <x:v>Daire 8 - Derya Koç 06/2026 aidat</x:v>
      </x:c>
      <x:c r="C81" t="str">
        <x:v>Giriş</x:v>
      </x:c>
      <x:c r="D81" s="22" t="n">
        <x:v>2221.78</x:v>
      </x:c>
      <x:c r="E81" s="22" t="n">
        <x:v>0</x:v>
      </x:c>
      <x:c r="F81" s="22" t="n">
        <x:v>42685.26000000001</x:v>
      </x:c>
      <x:c r="G81" t="str">
        <x:v>Aidat</x:v>
      </x:c>
      <x:c r="H81" t="str">
        <x:v>B002-R008-06</x:v>
      </x:c>
    </x:row>
    <x:row r="82">
      <x:c r="A82" s="20" t="n">
        <x:v>46184</x:v>
      </x:c>
      <x:c r="B82" t="str">
        <x:v>Daire 5 - Selin Kılıç 06/2026 aidat</x:v>
      </x:c>
      <x:c r="C82" t="str">
        <x:v>Giriş</x:v>
      </x:c>
      <x:c r="D82" s="22" t="n">
        <x:v>1349.94</x:v>
      </x:c>
      <x:c r="E82" s="22" t="n">
        <x:v>0</x:v>
      </x:c>
      <x:c r="F82" s="22" t="n">
        <x:v>44035.20000000001</x:v>
      </x:c>
      <x:c r="G82" t="str">
        <x:v>Aidat</x:v>
      </x:c>
      <x:c r="H82" t="str">
        <x:v>B002-R005-06</x:v>
      </x:c>
    </x:row>
    <x:row r="83">
      <x:c r="A83" s="20" t="n">
        <x:v>46184</x:v>
      </x:c>
      <x:c r="B83" t="str">
        <x:v>Daire 10 - Zeynep Eren 06/2026 aidat</x:v>
      </x:c>
      <x:c r="C83" t="str">
        <x:v>Giriş</x:v>
      </x:c>
      <x:c r="D83" s="22" t="n">
        <x:v>2038.97</x:v>
      </x:c>
      <x:c r="E83" s="22" t="n">
        <x:v>0</x:v>
      </x:c>
      <x:c r="F83" s="22" t="n">
        <x:v>46074.17000000001</x:v>
      </x:c>
      <x:c r="G83" t="str">
        <x:v>Aidat</x:v>
      </x:c>
      <x:c r="H83" t="str">
        <x:v>B002-R010-06</x:v>
      </x:c>
    </x:row>
    <x:row r="84">
      <x:c r="A84" s="20" t="n">
        <x:v>46186</x:v>
      </x:c>
      <x:c r="B84" t="str">
        <x:v>Daire 3 - Mehmet Özdemir 06/2026 aidat</x:v>
      </x:c>
      <x:c r="C84" t="str">
        <x:v>Giriş</x:v>
      </x:c>
      <x:c r="D84" s="22" t="n">
        <x:v>1476.5</x:v>
      </x:c>
      <x:c r="E84" s="22" t="n">
        <x:v>0</x:v>
      </x:c>
      <x:c r="F84" s="22" t="n">
        <x:v>47550.67000000001</x:v>
      </x:c>
      <x:c r="G84" t="str">
        <x:v>Aidat</x:v>
      </x:c>
      <x:c r="H84" t="str">
        <x:v>B002-R003-06</x:v>
      </x:c>
    </x:row>
    <x:row r="85">
      <x:c r="A85" s="20" t="n">
        <x:v>46186</x:v>
      </x:c>
      <x:c r="B85" t="str">
        <x:v>Daire 4 - Onur Özdemir 06/2026 aidat</x:v>
      </x:c>
      <x:c r="C85" t="str">
        <x:v>Giriş</x:v>
      </x:c>
      <x:c r="D85" s="22" t="n">
        <x:v>956.21</x:v>
      </x:c>
      <x:c r="E85" s="22" t="n">
        <x:v>0</x:v>
      </x:c>
      <x:c r="F85" s="22" t="n">
        <x:v>48506.88000000001</x:v>
      </x:c>
      <x:c r="G85" t="str">
        <x:v>Aidat</x:v>
      </x:c>
      <x:c r="H85" t="str">
        <x:v>B002-R004-06</x:v>
      </x:c>
    </x:row>
    <x:row r="86">
      <x:c r="A86" s="20" t="n">
        <x:v>46186</x:v>
      </x:c>
      <x:c r="B86" t="str">
        <x:v>Aylık asansör bakımı</x:v>
      </x:c>
      <x:c r="C86" t="str">
        <x:v>Çıkış</x:v>
      </x:c>
      <x:c r="D86" s="22" t="n">
        <x:v>0</x:v>
      </x:c>
      <x:c r="E86" s="22" t="n">
        <x:v>2200</x:v>
      </x:c>
      <x:c r="F86" s="22" t="n">
        <x:v>46306.88000000001</x:v>
      </x:c>
      <x:c r="G86" t="str">
        <x:v>Asansör Bakımı</x:v>
      </x:c>
      <x:c r="H86" t="str">
        <x:v>B002-G0039</x:v>
      </x:c>
    </x:row>
    <x:row r="87">
      <x:c r="A87" s="20" t="n">
        <x:v>46198</x:v>
      </x:c>
      <x:c r="B87" t="str">
        <x:v>Yönetim hizmet bedeli</x:v>
      </x:c>
      <x:c r="C87" t="str">
        <x:v>Çıkış</x:v>
      </x:c>
      <x:c r="D87" s="22" t="n">
        <x:v>0</x:v>
      </x:c>
      <x:c r="E87" s="22" t="n">
        <x:v>2500</x:v>
      </x:c>
      <x:c r="F87" s="22" t="n">
        <x:v>43806.88000000001</x:v>
      </x:c>
      <x:c r="G87" t="str">
        <x:v>Yönetim Hizmeti</x:v>
      </x:c>
      <x:c r="H87" t="str">
        <x:v>B002-G0042</x:v>
      </x:c>
    </x:row>
    <x:row r="88">
      <x:c r="A88" s="20" t="n">
        <x:v>46208</x:v>
      </x:c>
      <x:c r="B88" t="str">
        <x:v>Daire 2 - Burak Kılıç 07/2026 aidat</x:v>
      </x:c>
      <x:c r="C88" t="str">
        <x:v>Giriş</x:v>
      </x:c>
      <x:c r="D88" s="22" t="n">
        <x:v>2207.66</x:v>
      </x:c>
      <x:c r="E88" s="22" t="n">
        <x:v>0</x:v>
      </x:c>
      <x:c r="F88" s="22" t="n">
        <x:v>46014.54000000001</x:v>
      </x:c>
      <x:c r="G88" t="str">
        <x:v>Aidat</x:v>
      </x:c>
      <x:c r="H88" t="str">
        <x:v>B002-R002-07</x:v>
      </x:c>
    </x:row>
    <x:row r="89">
      <x:c r="A89" s="20" t="n">
        <x:v>46208</x:v>
      </x:c>
      <x:c r="B89" t="str">
        <x:v>Daire 4 - Onur Özdemir 07/2026 aidat</x:v>
      </x:c>
      <x:c r="C89" t="str">
        <x:v>Giriş</x:v>
      </x:c>
      <x:c r="D89" s="22" t="n">
        <x:v>1924.63</x:v>
      </x:c>
      <x:c r="E89" s="22" t="n">
        <x:v>0</x:v>
      </x:c>
      <x:c r="F89" s="22" t="n">
        <x:v>47939.170000000006</x:v>
      </x:c>
      <x:c r="G89" t="str">
        <x:v>Aidat</x:v>
      </x:c>
      <x:c r="H89" t="str">
        <x:v>B002-R004-07</x:v>
      </x:c>
    </x:row>
    <x:row r="90">
      <x:c r="A90" s="20" t="n">
        <x:v>46210</x:v>
      </x:c>
      <x:c r="B90" t="str">
        <x:v>Daire 1 - Pelin Yıldız 07/2026 aidat</x:v>
      </x:c>
      <x:c r="C90" t="str">
        <x:v>Giriş</x:v>
      </x:c>
      <x:c r="D90" s="22" t="n">
        <x:v>2207.66</x:v>
      </x:c>
      <x:c r="E90" s="22" t="n">
        <x:v>0</x:v>
      </x:c>
      <x:c r="F90" s="22" t="n">
        <x:v>50146.83</x:v>
      </x:c>
      <x:c r="G90" t="str">
        <x:v>Aidat</x:v>
      </x:c>
      <x:c r="H90" t="str">
        <x:v>B002-R001-07</x:v>
      </x:c>
    </x:row>
    <x:row r="91">
      <x:c r="A91" s="20" t="n">
        <x:v>46213</x:v>
      </x:c>
      <x:c r="B91" t="str">
        <x:v>Daire 5 - Selin Kılıç 07/2026 aidat</x:v>
      </x:c>
      <x:c r="C91" t="str">
        <x:v>Giriş</x:v>
      </x:c>
      <x:c r="D91" s="22" t="n">
        <x:v>2717.13</x:v>
      </x:c>
      <x:c r="E91" s="22" t="n">
        <x:v>0</x:v>
      </x:c>
      <x:c r="F91" s="22" t="n">
        <x:v>52863.96</x:v>
      </x:c>
      <x:c r="G91" t="str">
        <x:v>Aidat</x:v>
      </x:c>
      <x:c r="H91" t="str">
        <x:v>B002-R005-07</x:v>
      </x:c>
    </x:row>
    <x:row r="92">
      <x:c r="A92" s="20" t="n">
        <x:v>46213</x:v>
      </x:c>
      <x:c r="B92" t="str">
        <x:v>Daire 9 - Elif Polat 07/2026 aidat</x:v>
      </x:c>
      <x:c r="C92" t="str">
        <x:v>Giriş</x:v>
      </x:c>
      <x:c r="D92" s="22" t="n">
        <x:v>2377.49</x:v>
      </x:c>
      <x:c r="E92" s="22" t="n">
        <x:v>0</x:v>
      </x:c>
      <x:c r="F92" s="22" t="n">
        <x:v>55241.45</x:v>
      </x:c>
      <x:c r="G92" t="str">
        <x:v>Aidat</x:v>
      </x:c>
      <x:c r="H92" t="str">
        <x:v>B002-R009-07</x:v>
      </x:c>
    </x:row>
    <x:row r="93">
      <x:c r="A93" s="20" t="n">
        <x:v>46216</x:v>
      </x:c>
      <x:c r="B93" t="str">
        <x:v>Daire 6 - Buse Özdemir 07/2026 aidat</x:v>
      </x:c>
      <x:c r="C93" t="str">
        <x:v>Giriş</x:v>
      </x:c>
      <x:c r="D93" s="22" t="n">
        <x:v>3339.8</x:v>
      </x:c>
      <x:c r="E93" s="22" t="n">
        <x:v>0</x:v>
      </x:c>
      <x:c r="F93" s="22" t="n">
        <x:v>58581.25</x:v>
      </x:c>
      <x:c r="G93" t="str">
        <x:v>Aidat</x:v>
      </x:c>
      <x:c r="H93" t="str">
        <x:v>B002-R006-07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Pelin Yıldız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B002-R001</x:v>
      </x:c>
    </x:row>
    <x:row r="4">
      <x:c r="A4" s="7" t="str">
        <x:v>Ad Soyad</x:v>
      </x:c>
      <x:c r="B4" t="str">
        <x:v>Pelin Yıldız</x:v>
      </x:c>
    </x:row>
    <x:row r="5">
      <x:c r="A5" s="7" t="str">
        <x:v>Daire No</x:v>
      </x:c>
      <x:c r="B5" t="n">
        <x:v>1</x:v>
      </x:c>
    </x:row>
    <x:row r="6">
      <x:c r="A6" s="7" t="str">
        <x:v>Net m²</x:v>
      </x:c>
      <x:c r="B6" s="16" t="n">
        <x:v>78</x:v>
      </x:c>
    </x:row>
    <x:row r="7">
      <x:c r="A7" s="7" t="str">
        <x:v>Ortak Gider Payı</x:v>
      </x:c>
      <x:c r="B7" s="18" t="n">
        <x:v>0.07784431137724551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120.65868263473054</x:v>
      </x:c>
      <x:c r="D11" s="22" t="n">
        <x:v>63.83233532934132</x:v>
      </x:c>
      <x:c r="E11" s="22" t="n">
        <x:v>163.47305389221557</x:v>
      </x:c>
      <x:c r="F11" s="22" t="n">
        <x:v>140.11976047904193</x:v>
      </x:c>
      <x:c r="G11" s="22" t="n">
        <x:v>0</x:v>
      </x:c>
      <x:c r="H11" s="22" t="n">
        <x:v>0</x:v>
      </x:c>
      <x:c r="I11" s="22" t="n">
        <x:v>217.96407185628743</x:v>
      </x:c>
      <x:c r="J11" s="22" t="n">
        <x:v>0</x:v>
      </x:c>
      <x:c r="K11" s="22" t="n">
        <x:v>0</x:v>
      </x:c>
      <x:c r="L11" s="22" t="n">
        <x:v>0</x:v>
      </x:c>
      <x:c r="M11" s="22" t="n">
        <x:v>194.6107784431138</x:v>
      </x:c>
      <x:c r="N11" s="22" t="n">
        <x:v>900.6586826347306</x:v>
      </x:c>
      <x:c r="O11" s="22" t="n">
        <x:v>900.66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128.4431137724551</x:v>
      </x:c>
      <x:c r="D12" s="22" t="n">
        <x:v>66.16766467065868</x:v>
      </x:c>
      <x:c r="E12" s="22" t="n">
        <x:v>163.47305389221557</x:v>
      </x:c>
      <x:c r="F12" s="22" t="n">
        <x:v>0</x:v>
      </x:c>
      <x:c r="G12" s="22" t="n">
        <x:v>249.10179640718565</x:v>
      </x:c>
      <x:c r="H12" s="22" t="n">
        <x:v>0</x:v>
      </x:c>
      <x:c r="I12" s="22" t="n">
        <x:v>217.96407185628743</x:v>
      </x:c>
      <x:c r="J12" s="22" t="n">
        <x:v>0</x:v>
      </x:c>
      <x:c r="K12" s="22" t="n">
        <x:v>0</x:v>
      </x:c>
      <x:c r="L12" s="22" t="n">
        <x:v>0</x:v>
      </x:c>
      <x:c r="M12" s="22" t="n">
        <x:v>194.6107784431138</x:v>
      </x:c>
      <x:c r="N12" s="22" t="n">
        <x:v>1019.7604790419163</x:v>
      </x:c>
      <x:c r="O12" s="22" t="n">
        <x:v>1019.76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133.89221556886227</x:v>
      </x:c>
      <x:c r="D13" s="22" t="n">
        <x:v>71.61676646706587</x:v>
      </x:c>
      <x:c r="E13" s="22" t="n">
        <x:v>163.47305389221557</x:v>
      </x:c>
      <x:c r="F13" s="22" t="n">
        <x:v>186.82634730538922</x:v>
      </x:c>
      <x:c r="G13" s="22" t="n">
        <x:v>0</x:v>
      </x:c>
      <x:c r="H13" s="22" t="n">
        <x:v>326.94610778443115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194.6107784431138</x:v>
      </x:c>
      <x:c r="N13" s="22" t="n">
        <x:v>1077.3652694610778</x:v>
      </x:c>
      <x:c r="O13" s="22" t="n">
        <x:v>0</x:v>
      </x:c>
      <x:c r="P13" s="22" t="n">
        <x:v>1077.37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122.99401197604791</x:v>
      </x:c>
      <x:c r="D14" s="22" t="n">
        <x:v>69.28143712574851</x:v>
      </x:c>
      <x:c r="E14" s="22" t="n">
        <x:v>163.47305389221557</x:v>
      </x:c>
      <x:c r="F14" s="22" t="n">
        <x:v>0</x:v>
      </x:c>
      <x:c r="G14" s="22" t="n">
        <x:v>0</x:v>
      </x:c>
      <x:c r="H14" s="22" t="n">
        <x:v>0</x:v>
      </x:c>
      <x:c r="I14" s="22" t="n">
        <x:v>233.53293413173654</x:v>
      </x:c>
      <x:c r="J14" s="22" t="n">
        <x:v>0</x:v>
      </x:c>
      <x:c r="K14" s="22" t="n">
        <x:v>295.80838323353294</x:v>
      </x:c>
      <x:c r="L14" s="22" t="n">
        <x:v>0</x:v>
      </x:c>
      <x:c r="M14" s="22" t="n">
        <x:v>194.6107784431138</x:v>
      </x:c>
      <x:c r="N14" s="22" t="n">
        <x:v>1079.7005988023952</x:v>
      </x:c>
      <x:c r="O14" s="22" t="n">
        <x:v>1079.7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131.5568862275449</x:v>
      </x:c>
      <x:c r="D15" s="22" t="n">
        <x:v>70.83832335329342</x:v>
      </x:c>
      <x:c r="E15" s="22" t="n">
        <x:v>171.2574850299401</x:v>
      </x:c>
      <x:c r="F15" s="22" t="n">
        <x:v>0</x:v>
      </x:c>
      <x:c r="G15" s="22" t="n">
        <x:v>482.63473053892216</x:v>
      </x:c>
      <x:c r="H15" s="22" t="n">
        <x:v>0</x:v>
      </x:c>
      <x:c r="I15" s="22" t="n">
        <x:v>0</x:v>
      </x:c>
      <x:c r="J15" s="22" t="n">
        <x:v>202.39520958083833</x:v>
      </x:c>
      <x:c r="K15" s="22" t="n">
        <x:v>0</x:v>
      </x:c>
      <x:c r="L15" s="22" t="n">
        <x:v>0</x:v>
      </x:c>
      <x:c r="M15" s="22" t="n">
        <x:v>194.6107784431138</x:v>
      </x:c>
      <x:c r="N15" s="22" t="n">
        <x:v>1253.2934131736527</x:v>
      </x:c>
      <x:c r="O15" s="22" t="n">
        <x:v>1253.29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140.89820359281438</x:v>
      </x:c>
      <x:c r="D16" s="22" t="n">
        <x:v>76.2874251497006</x:v>
      </x:c>
      <x:c r="E16" s="22" t="n">
        <x:v>171.2574850299401</x:v>
      </x:c>
      <x:c r="F16" s="22" t="n">
        <x:v>280.23952095808386</x:v>
      </x:c>
      <x:c r="G16" s="22" t="n">
        <x:v>0</x:v>
      </x:c>
      <x:c r="H16" s="22" t="n">
        <x:v>0</x:v>
      </x:c>
      <x:c r="I16" s="22" t="n">
        <x:v>233.53293413173654</x:v>
      </x:c>
      <x:c r="J16" s="22" t="n">
        <x:v>0</x:v>
      </x:c>
      <x:c r="K16" s="22" t="n">
        <x:v>0</x:v>
      </x:c>
      <x:c r="L16" s="22" t="n">
        <x:v>0</x:v>
      </x:c>
      <x:c r="M16" s="22" t="n">
        <x:v>194.6107784431138</x:v>
      </x:c>
      <x:c r="N16" s="22" t="n">
        <x:v>1096.8263473053894</x:v>
      </x:c>
      <x:c r="O16" s="22" t="n">
        <x:v>1096.83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151.01796407185628</x:v>
      </x:c>
      <x:c r="D17" s="22" t="n">
        <x:v>79.40119760479043</x:v>
      </x:c>
      <x:c r="E17" s="22" t="n">
        <x:v>171.2574850299401</x:v>
      </x:c>
      <x:c r="F17" s="22" t="n">
        <x:v>0</x:v>
      </x:c>
      <x:c r="G17" s="22" t="n">
        <x:v>0</x:v>
      </x:c>
      <x:c r="H17" s="22" t="n">
        <x:v>0</x:v>
      </x:c>
      <x:c r="I17" s="22" t="n">
        <x:v>249.10179640718565</x:v>
      </x:c>
      <x:c r="J17" s="22" t="n">
        <x:v>0</x:v>
      </x:c>
      <x:c r="K17" s="22" t="n">
        <x:v>0</x:v>
      </x:c>
      <x:c r="L17" s="22" t="n">
        <x:v>1362.2754491017965</x:v>
      </x:c>
      <x:c r="M17" s="22" t="n">
        <x:v>194.6107784431138</x:v>
      </x:c>
      <x:c r="N17" s="22" t="n">
        <x:v>2207.664670658683</x:v>
      </x:c>
      <x:c r="O17" s="22" t="n">
        <x:v>2207.66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Burak Kılıç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B002-R002</x:v>
      </x:c>
    </x:row>
    <x:row r="4">
      <x:c r="A4" s="7" t="str">
        <x:v>Ad Soyad</x:v>
      </x:c>
      <x:c r="B4" t="str">
        <x:v>Burak Kılıç</x:v>
      </x:c>
    </x:row>
    <x:row r="5">
      <x:c r="A5" s="7" t="str">
        <x:v>Daire No</x:v>
      </x:c>
      <x:c r="B5" t="n">
        <x:v>2</x:v>
      </x:c>
    </x:row>
    <x:row r="6">
      <x:c r="A6" s="7" t="str">
        <x:v>Net m²</x:v>
      </x:c>
      <x:c r="B6" s="16" t="n">
        <x:v>78</x:v>
      </x:c>
    </x:row>
    <x:row r="7">
      <x:c r="A7" s="7" t="str">
        <x:v>Ortak Gider Payı</x:v>
      </x:c>
      <x:c r="B7" s="18" t="n">
        <x:v>0.07784431137724551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120.65868263473054</x:v>
      </x:c>
      <x:c r="D11" s="22" t="n">
        <x:v>63.83233532934132</x:v>
      </x:c>
      <x:c r="E11" s="22" t="n">
        <x:v>163.47305389221557</x:v>
      </x:c>
      <x:c r="F11" s="22" t="n">
        <x:v>140.11976047904193</x:v>
      </x:c>
      <x:c r="G11" s="22" t="n">
        <x:v>0</x:v>
      </x:c>
      <x:c r="H11" s="22" t="n">
        <x:v>0</x:v>
      </x:c>
      <x:c r="I11" s="22" t="n">
        <x:v>217.96407185628743</x:v>
      </x:c>
      <x:c r="J11" s="22" t="n">
        <x:v>0</x:v>
      </x:c>
      <x:c r="K11" s="22" t="n">
        <x:v>0</x:v>
      </x:c>
      <x:c r="L11" s="22" t="n">
        <x:v>0</x:v>
      </x:c>
      <x:c r="M11" s="22" t="n">
        <x:v>194.6107784431138</x:v>
      </x:c>
      <x:c r="N11" s="22" t="n">
        <x:v>900.6586826347306</x:v>
      </x:c>
      <x:c r="O11" s="22" t="n">
        <x:v>900.66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128.4431137724551</x:v>
      </x:c>
      <x:c r="D12" s="22" t="n">
        <x:v>66.16766467065868</x:v>
      </x:c>
      <x:c r="E12" s="22" t="n">
        <x:v>163.47305389221557</x:v>
      </x:c>
      <x:c r="F12" s="22" t="n">
        <x:v>0</x:v>
      </x:c>
      <x:c r="G12" s="22" t="n">
        <x:v>249.10179640718565</x:v>
      </x:c>
      <x:c r="H12" s="22" t="n">
        <x:v>0</x:v>
      </x:c>
      <x:c r="I12" s="22" t="n">
        <x:v>217.96407185628743</x:v>
      </x:c>
      <x:c r="J12" s="22" t="n">
        <x:v>0</x:v>
      </x:c>
      <x:c r="K12" s="22" t="n">
        <x:v>0</x:v>
      </x:c>
      <x:c r="L12" s="22" t="n">
        <x:v>0</x:v>
      </x:c>
      <x:c r="M12" s="22" t="n">
        <x:v>194.6107784431138</x:v>
      </x:c>
      <x:c r="N12" s="22" t="n">
        <x:v>1019.7604790419163</x:v>
      </x:c>
      <x:c r="O12" s="22" t="n">
        <x:v>1019.76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133.89221556886227</x:v>
      </x:c>
      <x:c r="D13" s="22" t="n">
        <x:v>71.61676646706587</x:v>
      </x:c>
      <x:c r="E13" s="22" t="n">
        <x:v>163.47305389221557</x:v>
      </x:c>
      <x:c r="F13" s="22" t="n">
        <x:v>186.82634730538922</x:v>
      </x:c>
      <x:c r="G13" s="22" t="n">
        <x:v>0</x:v>
      </x:c>
      <x:c r="H13" s="22" t="n">
        <x:v>326.94610778443115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194.6107784431138</x:v>
      </x:c>
      <x:c r="N13" s="22" t="n">
        <x:v>1077.3652694610778</x:v>
      </x:c>
      <x:c r="O13" s="22" t="n">
        <x:v>0</x:v>
      </x:c>
      <x:c r="P13" s="22" t="n">
        <x:v>1077.37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122.99401197604791</x:v>
      </x:c>
      <x:c r="D14" s="22" t="n">
        <x:v>69.28143712574851</x:v>
      </x:c>
      <x:c r="E14" s="22" t="n">
        <x:v>163.47305389221557</x:v>
      </x:c>
      <x:c r="F14" s="22" t="n">
        <x:v>0</x:v>
      </x:c>
      <x:c r="G14" s="22" t="n">
        <x:v>0</x:v>
      </x:c>
      <x:c r="H14" s="22" t="n">
        <x:v>0</x:v>
      </x:c>
      <x:c r="I14" s="22" t="n">
        <x:v>233.53293413173654</x:v>
      </x:c>
      <x:c r="J14" s="22" t="n">
        <x:v>0</x:v>
      </x:c>
      <x:c r="K14" s="22" t="n">
        <x:v>295.80838323353294</x:v>
      </x:c>
      <x:c r="L14" s="22" t="n">
        <x:v>0</x:v>
      </x:c>
      <x:c r="M14" s="22" t="n">
        <x:v>194.6107784431138</x:v>
      </x:c>
      <x:c r="N14" s="22" t="n">
        <x:v>1079.7005988023952</x:v>
      </x:c>
      <x:c r="O14" s="22" t="n">
        <x:v>1079.7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131.5568862275449</x:v>
      </x:c>
      <x:c r="D15" s="22" t="n">
        <x:v>70.83832335329342</x:v>
      </x:c>
      <x:c r="E15" s="22" t="n">
        <x:v>171.2574850299401</x:v>
      </x:c>
      <x:c r="F15" s="22" t="n">
        <x:v>0</x:v>
      </x:c>
      <x:c r="G15" s="22" t="n">
        <x:v>482.63473053892216</x:v>
      </x:c>
      <x:c r="H15" s="22" t="n">
        <x:v>0</x:v>
      </x:c>
      <x:c r="I15" s="22" t="n">
        <x:v>0</x:v>
      </x:c>
      <x:c r="J15" s="22" t="n">
        <x:v>202.39520958083833</x:v>
      </x:c>
      <x:c r="K15" s="22" t="n">
        <x:v>0</x:v>
      </x:c>
      <x:c r="L15" s="22" t="n">
        <x:v>0</x:v>
      </x:c>
      <x:c r="M15" s="22" t="n">
        <x:v>194.6107784431138</x:v>
      </x:c>
      <x:c r="N15" s="22" t="n">
        <x:v>1253.2934131736527</x:v>
      </x:c>
      <x:c r="O15" s="22" t="n">
        <x:v>1253.29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140.89820359281438</x:v>
      </x:c>
      <x:c r="D16" s="22" t="n">
        <x:v>76.2874251497006</x:v>
      </x:c>
      <x:c r="E16" s="22" t="n">
        <x:v>171.2574850299401</x:v>
      </x:c>
      <x:c r="F16" s="22" t="n">
        <x:v>280.23952095808386</x:v>
      </x:c>
      <x:c r="G16" s="22" t="n">
        <x:v>0</x:v>
      </x:c>
      <x:c r="H16" s="22" t="n">
        <x:v>0</x:v>
      </x:c>
      <x:c r="I16" s="22" t="n">
        <x:v>233.53293413173654</x:v>
      </x:c>
      <x:c r="J16" s="22" t="n">
        <x:v>0</x:v>
      </x:c>
      <x:c r="K16" s="22" t="n">
        <x:v>0</x:v>
      </x:c>
      <x:c r="L16" s="22" t="n">
        <x:v>0</x:v>
      </x:c>
      <x:c r="M16" s="22" t="n">
        <x:v>194.6107784431138</x:v>
      </x:c>
      <x:c r="N16" s="22" t="n">
        <x:v>1096.8263473053894</x:v>
      </x:c>
      <x:c r="O16" s="22" t="n">
        <x:v>1096.83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151.01796407185628</x:v>
      </x:c>
      <x:c r="D17" s="22" t="n">
        <x:v>79.40119760479043</x:v>
      </x:c>
      <x:c r="E17" s="22" t="n">
        <x:v>171.2574850299401</x:v>
      </x:c>
      <x:c r="F17" s="22" t="n">
        <x:v>0</x:v>
      </x:c>
      <x:c r="G17" s="22" t="n">
        <x:v>0</x:v>
      </x:c>
      <x:c r="H17" s="22" t="n">
        <x:v>0</x:v>
      </x:c>
      <x:c r="I17" s="22" t="n">
        <x:v>249.10179640718565</x:v>
      </x:c>
      <x:c r="J17" s="22" t="n">
        <x:v>0</x:v>
      </x:c>
      <x:c r="K17" s="22" t="n">
        <x:v>0</x:v>
      </x:c>
      <x:c r="L17" s="22" t="n">
        <x:v>1362.2754491017965</x:v>
      </x:c>
      <x:c r="M17" s="22" t="n">
        <x:v>194.6107784431138</x:v>
      </x:c>
      <x:c r="N17" s="22" t="n">
        <x:v>2207.664670658683</x:v>
      </x:c>
      <x:c r="O17" s="22" t="n">
        <x:v>2207.66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Mehmet Özdemir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B002-R003</x:v>
      </x:c>
    </x:row>
    <x:row r="4">
      <x:c r="A4" s="7" t="str">
        <x:v>Ad Soyad</x:v>
      </x:c>
      <x:c r="B4" t="str">
        <x:v>Mehmet Özdemir</x:v>
      </x:c>
    </x:row>
    <x:row r="5">
      <x:c r="A5" s="7" t="str">
        <x:v>Daire No</x:v>
      </x:c>
      <x:c r="B5" t="n">
        <x:v>3</x:v>
      </x:c>
    </x:row>
    <x:row r="6">
      <x:c r="A6" s="7" t="str">
        <x:v>Net m²</x:v>
      </x:c>
      <x:c r="B6" s="16" t="n">
        <x:v>105</x:v>
      </x:c>
    </x:row>
    <x:row r="7">
      <x:c r="A7" s="7" t="str">
        <x:v>Ortak Gider Payı</x:v>
      </x:c>
      <x:c r="B7" s="18" t="n">
        <x:v>0.10479041916167664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162.42514970059878</x:v>
      </x:c>
      <x:c r="D11" s="22" t="n">
        <x:v>85.92814371257485</x:v>
      </x:c>
      <x:c r="E11" s="22" t="n">
        <x:v>220.05988023952094</x:v>
      </x:c>
      <x:c r="F11" s="22" t="n">
        <x:v>188.62275449101796</x:v>
      </x:c>
      <x:c r="G11" s="22" t="n">
        <x:v>0</x:v>
      </x:c>
      <x:c r="H11" s="22" t="n">
        <x:v>0</x:v>
      </x:c>
      <x:c r="I11" s="22" t="n">
        <x:v>293.4131736526946</x:v>
      </x:c>
      <x:c r="J11" s="22" t="n">
        <x:v>0</x:v>
      </x:c>
      <x:c r="K11" s="22" t="n">
        <x:v>0</x:v>
      </x:c>
      <x:c r="L11" s="22" t="n">
        <x:v>0</x:v>
      </x:c>
      <x:c r="M11" s="22" t="n">
        <x:v>261.9760479041916</x:v>
      </x:c>
      <x:c r="N11" s="22" t="n">
        <x:v>1212.4251497005987</x:v>
      </x:c>
      <x:c r="O11" s="22" t="n">
        <x:v>1212.43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172.90419161676647</x:v>
      </x:c>
      <x:c r="D12" s="22" t="n">
        <x:v>89.07185628742515</x:v>
      </x:c>
      <x:c r="E12" s="22" t="n">
        <x:v>220.05988023952094</x:v>
      </x:c>
      <x:c r="F12" s="22" t="n">
        <x:v>0</x:v>
      </x:c>
      <x:c r="G12" s="22" t="n">
        <x:v>335.3293413173652</x:v>
      </x:c>
      <x:c r="H12" s="22" t="n">
        <x:v>0</x:v>
      </x:c>
      <x:c r="I12" s="22" t="n">
        <x:v>293.4131736526946</x:v>
      </x:c>
      <x:c r="J12" s="22" t="n">
        <x:v>0</x:v>
      </x:c>
      <x:c r="K12" s="22" t="n">
        <x:v>0</x:v>
      </x:c>
      <x:c r="L12" s="22" t="n">
        <x:v>0</x:v>
      </x:c>
      <x:c r="M12" s="22" t="n">
        <x:v>261.9760479041916</x:v>
      </x:c>
      <x:c r="N12" s="22" t="n">
        <x:v>1372.754491017964</x:v>
      </x:c>
      <x:c r="O12" s="22" t="n">
        <x:v>1372.75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180.23952095808383</x:v>
      </x:c>
      <x:c r="D13" s="22" t="n">
        <x:v>96.40718562874251</x:v>
      </x:c>
      <x:c r="E13" s="22" t="n">
        <x:v>220.05988023952094</x:v>
      </x:c>
      <x:c r="F13" s="22" t="n">
        <x:v>251.49700598802394</x:v>
      </x:c>
      <x:c r="G13" s="22" t="n">
        <x:v>0</x:v>
      </x:c>
      <x:c r="H13" s="22" t="n">
        <x:v>440.1197604790419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261.9760479041916</x:v>
      </x:c>
      <x:c r="N13" s="22" t="n">
        <x:v>1450.2994011976048</x:v>
      </x:c>
      <x:c r="O13" s="22" t="n">
        <x:v>1450.3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165.56886227544908</x:v>
      </x:c>
      <x:c r="D14" s="22" t="n">
        <x:v>93.26347305389221</x:v>
      </x:c>
      <x:c r="E14" s="22" t="n">
        <x:v>220.05988023952094</x:v>
      </x:c>
      <x:c r="F14" s="22" t="n">
        <x:v>0</x:v>
      </x:c>
      <x:c r="G14" s="22" t="n">
        <x:v>0</x:v>
      </x:c>
      <x:c r="H14" s="22" t="n">
        <x:v>0</x:v>
      </x:c>
      <x:c r="I14" s="22" t="n">
        <x:v>314.3712574850299</x:v>
      </x:c>
      <x:c r="J14" s="22" t="n">
        <x:v>0</x:v>
      </x:c>
      <x:c r="K14" s="22" t="n">
        <x:v>398.20359281437123</x:v>
      </x:c>
      <x:c r="L14" s="22" t="n">
        <x:v>0</x:v>
      </x:c>
      <x:c r="M14" s="22" t="n">
        <x:v>261.9760479041916</x:v>
      </x:c>
      <x:c r="N14" s="22" t="n">
        <x:v>1453.443113772455</x:v>
      </x:c>
      <x:c r="O14" s="22" t="n">
        <x:v>1453.44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177.09580838323353</x:v>
      </x:c>
      <x:c r="D15" s="22" t="n">
        <x:v>95.35928143712574</x:v>
      </x:c>
      <x:c r="E15" s="22" t="n">
        <x:v>230.5389221556886</x:v>
      </x:c>
      <x:c r="F15" s="22" t="n">
        <x:v>0</x:v>
      </x:c>
      <x:c r="G15" s="22" t="n">
        <x:v>649.7005988023951</x:v>
      </x:c>
      <x:c r="H15" s="22" t="n">
        <x:v>0</x:v>
      </x:c>
      <x:c r="I15" s="22" t="n">
        <x:v>0</x:v>
      </x:c>
      <x:c r="J15" s="22" t="n">
        <x:v>272.45508982035926</x:v>
      </x:c>
      <x:c r="K15" s="22" t="n">
        <x:v>0</x:v>
      </x:c>
      <x:c r="L15" s="22" t="n">
        <x:v>0</x:v>
      </x:c>
      <x:c r="M15" s="22" t="n">
        <x:v>261.9760479041916</x:v>
      </x:c>
      <x:c r="N15" s="22" t="n">
        <x:v>1687.125748502994</x:v>
      </x:c>
      <x:c r="O15" s="22" t="n">
        <x:v>1687.13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189.67065868263472</x:v>
      </x:c>
      <x:c r="D16" s="22" t="n">
        <x:v>102.6946107784431</x:v>
      </x:c>
      <x:c r="E16" s="22" t="n">
        <x:v>230.5389221556886</x:v>
      </x:c>
      <x:c r="F16" s="22" t="n">
        <x:v>377.2455089820359</x:v>
      </x:c>
      <x:c r="G16" s="22" t="n">
        <x:v>0</x:v>
      </x:c>
      <x:c r="H16" s="22" t="n">
        <x:v>0</x:v>
      </x:c>
      <x:c r="I16" s="22" t="n">
        <x:v>314.3712574850299</x:v>
      </x:c>
      <x:c r="J16" s="22" t="n">
        <x:v>0</x:v>
      </x:c>
      <x:c r="K16" s="22" t="n">
        <x:v>0</x:v>
      </x:c>
      <x:c r="L16" s="22" t="n">
        <x:v>0</x:v>
      </x:c>
      <x:c r="M16" s="22" t="n">
        <x:v>261.9760479041916</x:v>
      </x:c>
      <x:c r="N16" s="22" t="n">
        <x:v>1476.4970059880238</x:v>
      </x:c>
      <x:c r="O16" s="22" t="n">
        <x:v>1476.5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203.29341317365268</x:v>
      </x:c>
      <x:c r="D17" s="22" t="n">
        <x:v>106.88622754491017</x:v>
      </x:c>
      <x:c r="E17" s="22" t="n">
        <x:v>230.5389221556886</x:v>
      </x:c>
      <x:c r="F17" s="22" t="n">
        <x:v>0</x:v>
      </x:c>
      <x:c r="G17" s="22" t="n">
        <x:v>0</x:v>
      </x:c>
      <x:c r="H17" s="22" t="n">
        <x:v>0</x:v>
      </x:c>
      <x:c r="I17" s="22" t="n">
        <x:v>335.3293413173652</x:v>
      </x:c>
      <x:c r="J17" s="22" t="n">
        <x:v>0</x:v>
      </x:c>
      <x:c r="K17" s="22" t="n">
        <x:v>0</x:v>
      </x:c>
      <x:c r="L17" s="22" t="n">
        <x:v>1833.8323353293413</x:v>
      </x:c>
      <x:c r="M17" s="22" t="n">
        <x:v>261.9760479041916</x:v>
      </x:c>
      <x:c r="N17" s="22" t="n">
        <x:v>2971.8562874251497</x:v>
      </x:c>
      <x:c r="O17" s="22" t="n">
        <x:v>0</x:v>
      </x:c>
      <x:c r="P17" s="22" t="n">
        <x:v>2971.86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Onur Özdemir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B002-R004</x:v>
      </x:c>
    </x:row>
    <x:row r="4">
      <x:c r="A4" s="7" t="str">
        <x:v>Ad Soyad</x:v>
      </x:c>
      <x:c r="B4" t="str">
        <x:v>Onur Özdemir</x:v>
      </x:c>
    </x:row>
    <x:row r="5">
      <x:c r="A5" s="7" t="str">
        <x:v>Daire No</x:v>
      </x:c>
      <x:c r="B5" t="n">
        <x:v>4</x:v>
      </x:c>
    </x:row>
    <x:row r="6">
      <x:c r="A6" s="7" t="str">
        <x:v>Net m²</x:v>
      </x:c>
      <x:c r="B6" s="16" t="n">
        <x:v>68</x:v>
      </x:c>
    </x:row>
    <x:row r="7">
      <x:c r="A7" s="7" t="str">
        <x:v>Ortak Gider Payı</x:v>
      </x:c>
      <x:c r="B7" s="18" t="n">
        <x:v>0.06786427145708583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105.18962075848304</x:v>
      </x:c>
      <x:c r="D11" s="22" t="n">
        <x:v>55.64870259481038</x:v>
      </x:c>
      <x:c r="E11" s="22" t="n">
        <x:v>142.51497005988026</x:v>
      </x:c>
      <x:c r="F11" s="22" t="n">
        <x:v>122.1556886227545</x:v>
      </x:c>
      <x:c r="G11" s="22" t="n">
        <x:v>0</x:v>
      </x:c>
      <x:c r="H11" s="22" t="n">
        <x:v>0</x:v>
      </x:c>
      <x:c r="I11" s="22" t="n">
        <x:v>190.01996007984033</x:v>
      </x:c>
      <x:c r="J11" s="22" t="n">
        <x:v>0</x:v>
      </x:c>
      <x:c r="K11" s="22" t="n">
        <x:v>0</x:v>
      </x:c>
      <x:c r="L11" s="22" t="n">
        <x:v>0</x:v>
      </x:c>
      <x:c r="M11" s="22" t="n">
        <x:v>169.66067864271457</x:v>
      </x:c>
      <x:c r="N11" s="22" t="n">
        <x:v>785.1896207584831</x:v>
      </x:c>
      <x:c r="O11" s="22" t="n">
        <x:v>785.19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111.97604790419162</x:v>
      </x:c>
      <x:c r="D12" s="22" t="n">
        <x:v>57.684630738522955</x:v>
      </x:c>
      <x:c r="E12" s="22" t="n">
        <x:v>142.51497005988026</x:v>
      </x:c>
      <x:c r="F12" s="22" t="n">
        <x:v>0</x:v>
      </x:c>
      <x:c r="G12" s="22" t="n">
        <x:v>217.16566866267465</x:v>
      </x:c>
      <x:c r="H12" s="22" t="n">
        <x:v>0</x:v>
      </x:c>
      <x:c r="I12" s="22" t="n">
        <x:v>190.01996007984033</x:v>
      </x:c>
      <x:c r="J12" s="22" t="n">
        <x:v>0</x:v>
      </x:c>
      <x:c r="K12" s="22" t="n">
        <x:v>0</x:v>
      </x:c>
      <x:c r="L12" s="22" t="n">
        <x:v>0</x:v>
      </x:c>
      <x:c r="M12" s="22" t="n">
        <x:v>169.66067864271457</x:v>
      </x:c>
      <x:c r="N12" s="22" t="n">
        <x:v>889.0219560878244</x:v>
      </x:c>
      <x:c r="O12" s="22" t="n">
        <x:v>889.02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116.72654690618764</x:v>
      </x:c>
      <x:c r="D13" s="22" t="n">
        <x:v>62.43512974051897</x:v>
      </x:c>
      <x:c r="E13" s="22" t="n">
        <x:v>142.51497005988026</x:v>
      </x:c>
      <x:c r="F13" s="22" t="n">
        <x:v>162.874251497006</x:v>
      </x:c>
      <x:c r="G13" s="22" t="n">
        <x:v>0</x:v>
      </x:c>
      <x:c r="H13" s="22" t="n">
        <x:v>285.0299401197605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169.66067864271457</x:v>
      </x:c>
      <x:c r="N13" s="22" t="n">
        <x:v>939.2415169660679</x:v>
      </x:c>
      <x:c r="O13" s="22" t="n">
        <x:v>0</x:v>
      </x:c>
      <x:c r="P13" s="22" t="n">
        <x:v>939.24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107.22554890219561</x:v>
      </x:c>
      <x:c r="D14" s="22" t="n">
        <x:v>60.39920159680639</x:v>
      </x:c>
      <x:c r="E14" s="22" t="n">
        <x:v>142.51497005988026</x:v>
      </x:c>
      <x:c r="F14" s="22" t="n">
        <x:v>0</x:v>
      </x:c>
      <x:c r="G14" s="22" t="n">
        <x:v>0</x:v>
      </x:c>
      <x:c r="H14" s="22" t="n">
        <x:v>0</x:v>
      </x:c>
      <x:c r="I14" s="22" t="n">
        <x:v>203.5928143712575</x:v>
      </x:c>
      <x:c r="J14" s="22" t="n">
        <x:v>0</x:v>
      </x:c>
      <x:c r="K14" s="22" t="n">
        <x:v>257.88423153692617</x:v>
      </x:c>
      <x:c r="L14" s="22" t="n">
        <x:v>0</x:v>
      </x:c>
      <x:c r="M14" s="22" t="n">
        <x:v>169.66067864271457</x:v>
      </x:c>
      <x:c r="N14" s="22" t="n">
        <x:v>941.2774451097805</x:v>
      </x:c>
      <x:c r="O14" s="22" t="n">
        <x:v>941.28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114.69061876247505</x:v>
      </x:c>
      <x:c r="D15" s="22" t="n">
        <x:v>61.756487025948104</x:v>
      </x:c>
      <x:c r="E15" s="22" t="n">
        <x:v>149.30139720558884</x:v>
      </x:c>
      <x:c r="F15" s="22" t="n">
        <x:v>0</x:v>
      </x:c>
      <x:c r="G15" s="22" t="n">
        <x:v>420.7584830339322</x:v>
      </x:c>
      <x:c r="H15" s="22" t="n">
        <x:v>0</x:v>
      </x:c>
      <x:c r="I15" s="22" t="n">
        <x:v>0</x:v>
      </x:c>
      <x:c r="J15" s="22" t="n">
        <x:v>176.44710578842316</x:v>
      </x:c>
      <x:c r="K15" s="22" t="n">
        <x:v>0</x:v>
      </x:c>
      <x:c r="L15" s="22" t="n">
        <x:v>0</x:v>
      </x:c>
      <x:c r="M15" s="22" t="n">
        <x:v>169.66067864271457</x:v>
      </x:c>
      <x:c r="N15" s="22" t="n">
        <x:v>1092.614770459082</x:v>
      </x:c>
      <x:c r="O15" s="22" t="n">
        <x:v>1092.61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122.83433133732535</x:v>
      </x:c>
      <x:c r="D16" s="22" t="n">
        <x:v>66.50698602794411</x:v>
      </x:c>
      <x:c r="E16" s="22" t="n">
        <x:v>149.30139720558884</x:v>
      </x:c>
      <x:c r="F16" s="22" t="n">
        <x:v>244.311377245509</x:v>
      </x:c>
      <x:c r="G16" s="22" t="n">
        <x:v>0</x:v>
      </x:c>
      <x:c r="H16" s="22" t="n">
        <x:v>0</x:v>
      </x:c>
      <x:c r="I16" s="22" t="n">
        <x:v>203.5928143712575</x:v>
      </x:c>
      <x:c r="J16" s="22" t="n">
        <x:v>0</x:v>
      </x:c>
      <x:c r="K16" s="22" t="n">
        <x:v>0</x:v>
      </x:c>
      <x:c r="L16" s="22" t="n">
        <x:v>0</x:v>
      </x:c>
      <x:c r="M16" s="22" t="n">
        <x:v>169.66067864271457</x:v>
      </x:c>
      <x:c r="N16" s="22" t="n">
        <x:v>956.2075848303393</x:v>
      </x:c>
      <x:c r="O16" s="22" t="n">
        <x:v>956.21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131.6566866267465</x:v>
      </x:c>
      <x:c r="D17" s="22" t="n">
        <x:v>69.22155688622755</x:v>
      </x:c>
      <x:c r="E17" s="22" t="n">
        <x:v>149.30139720558884</x:v>
      </x:c>
      <x:c r="F17" s="22" t="n">
        <x:v>0</x:v>
      </x:c>
      <x:c r="G17" s="22" t="n">
        <x:v>0</x:v>
      </x:c>
      <x:c r="H17" s="22" t="n">
        <x:v>0</x:v>
      </x:c>
      <x:c r="I17" s="22" t="n">
        <x:v>217.16566866267465</x:v>
      </x:c>
      <x:c r="J17" s="22" t="n">
        <x:v>0</x:v>
      </x:c>
      <x:c r="K17" s="22" t="n">
        <x:v>0</x:v>
      </x:c>
      <x:c r="L17" s="22" t="n">
        <x:v>1187.624750499002</x:v>
      </x:c>
      <x:c r="M17" s="22" t="n">
        <x:v>169.66067864271457</x:v>
      </x:c>
      <x:c r="N17" s="22" t="n">
        <x:v>1924.630738522954</x:v>
      </x:c>
      <x:c r="O17" s="22" t="n">
        <x:v>1924.63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Selin Kılıç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B002-R005</x:v>
      </x:c>
    </x:row>
    <x:row r="4">
      <x:c r="A4" s="7" t="str">
        <x:v>Ad Soyad</x:v>
      </x:c>
      <x:c r="B4" t="str">
        <x:v>Selin Kılıç</x:v>
      </x:c>
    </x:row>
    <x:row r="5">
      <x:c r="A5" s="7" t="str">
        <x:v>Daire No</x:v>
      </x:c>
      <x:c r="B5" t="n">
        <x:v>5</x:v>
      </x:c>
    </x:row>
    <x:row r="6">
      <x:c r="A6" s="7" t="str">
        <x:v>Net m²</x:v>
      </x:c>
      <x:c r="B6" s="16" t="n">
        <x:v>96</x:v>
      </x:c>
    </x:row>
    <x:row r="7">
      <x:c r="A7" s="7" t="str">
        <x:v>Ortak Gider Payı</x:v>
      </x:c>
      <x:c r="B7" s="18" t="n">
        <x:v>0.09580838323353294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148.50299401197606</x:v>
      </x:c>
      <x:c r="D11" s="22" t="n">
        <x:v>78.562874251497</x:v>
      </x:c>
      <x:c r="E11" s="22" t="n">
        <x:v>201.19760479041918</x:v>
      </x:c>
      <x:c r="F11" s="22" t="n">
        <x:v>172.4550898203593</x:v>
      </x:c>
      <x:c r="G11" s="22" t="n">
        <x:v>0</x:v>
      </x:c>
      <x:c r="H11" s="22" t="n">
        <x:v>0</x:v>
      </x:c>
      <x:c r="I11" s="22" t="n">
        <x:v>268.26347305389226</x:v>
      </x:c>
      <x:c r="J11" s="22" t="n">
        <x:v>0</x:v>
      </x:c>
      <x:c r="K11" s="22" t="n">
        <x:v>0</x:v>
      </x:c>
      <x:c r="L11" s="22" t="n">
        <x:v>0</x:v>
      </x:c>
      <x:c r="M11" s="22" t="n">
        <x:v>239.52095808383234</x:v>
      </x:c>
      <x:c r="N11" s="22" t="n">
        <x:v>1108.5029940119762</x:v>
      </x:c>
      <x:c r="O11" s="22" t="n">
        <x:v>1108.5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158.08383233532936</x:v>
      </x:c>
      <x:c r="D12" s="22" t="n">
        <x:v>81.437125748503</x:v>
      </x:c>
      <x:c r="E12" s="22" t="n">
        <x:v>201.19760479041918</x:v>
      </x:c>
      <x:c r="F12" s="22" t="n">
        <x:v>0</x:v>
      </x:c>
      <x:c r="G12" s="22" t="n">
        <x:v>306.5868263473054</x:v>
      </x:c>
      <x:c r="H12" s="22" t="n">
        <x:v>0</x:v>
      </x:c>
      <x:c r="I12" s="22" t="n">
        <x:v>268.26347305389226</x:v>
      </x:c>
      <x:c r="J12" s="22" t="n">
        <x:v>0</x:v>
      </x:c>
      <x:c r="K12" s="22" t="n">
        <x:v>0</x:v>
      </x:c>
      <x:c r="L12" s="22" t="n">
        <x:v>0</x:v>
      </x:c>
      <x:c r="M12" s="22" t="n">
        <x:v>239.52095808383234</x:v>
      </x:c>
      <x:c r="N12" s="22" t="n">
        <x:v>1255.0898203592815</x:v>
      </x:c>
      <x:c r="O12" s="22" t="n">
        <x:v>1255.09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164.79041916167665</x:v>
      </x:c>
      <x:c r="D13" s="22" t="n">
        <x:v>88.1437125748503</x:v>
      </x:c>
      <x:c r="E13" s="22" t="n">
        <x:v>201.19760479041918</x:v>
      </x:c>
      <x:c r="F13" s="22" t="n">
        <x:v>229.94011976047906</x:v>
      </x:c>
      <x:c r="G13" s="22" t="n">
        <x:v>0</x:v>
      </x:c>
      <x:c r="H13" s="22" t="n">
        <x:v>402.39520958083835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239.52095808383234</x:v>
      </x:c>
      <x:c r="N13" s="22" t="n">
        <x:v>1325.9880239520958</x:v>
      </x:c>
      <x:c r="O13" s="22" t="n">
        <x:v>0</x:v>
      </x:c>
      <x:c r="P13" s="22" t="n">
        <x:v>1325.99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151.37724550898204</x:v>
      </x:c>
      <x:c r="D14" s="22" t="n">
        <x:v>85.26946107784431</x:v>
      </x:c>
      <x:c r="E14" s="22" t="n">
        <x:v>201.19760479041918</x:v>
      </x:c>
      <x:c r="F14" s="22" t="n">
        <x:v>0</x:v>
      </x:c>
      <x:c r="G14" s="22" t="n">
        <x:v>0</x:v>
      </x:c>
      <x:c r="H14" s="22" t="n">
        <x:v>0</x:v>
      </x:c>
      <x:c r="I14" s="22" t="n">
        <x:v>287.4251497005988</x:v>
      </x:c>
      <x:c r="J14" s="22" t="n">
        <x:v>0</x:v>
      </x:c>
      <x:c r="K14" s="22" t="n">
        <x:v>364.0718562874252</x:v>
      </x:c>
      <x:c r="L14" s="22" t="n">
        <x:v>0</x:v>
      </x:c>
      <x:c r="M14" s="22" t="n">
        <x:v>239.52095808383234</x:v>
      </x:c>
      <x:c r="N14" s="22" t="n">
        <x:v>1328.8622754491018</x:v>
      </x:c>
      <x:c r="O14" s="22" t="n">
        <x:v>1328.86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161.91616766467067</x:v>
      </x:c>
      <x:c r="D15" s="22" t="n">
        <x:v>87.18562874251498</x:v>
      </x:c>
      <x:c r="E15" s="22" t="n">
        <x:v>210.77844311377245</x:v>
      </x:c>
      <x:c r="F15" s="22" t="n">
        <x:v>0</x:v>
      </x:c>
      <x:c r="G15" s="22" t="n">
        <x:v>594.0119760479042</x:v>
      </x:c>
      <x:c r="H15" s="22" t="n">
        <x:v>0</x:v>
      </x:c>
      <x:c r="I15" s="22" t="n">
        <x:v>0</x:v>
      </x:c>
      <x:c r="J15" s="22" t="n">
        <x:v>249.10179640718565</x:v>
      </x:c>
      <x:c r="K15" s="22" t="n">
        <x:v>0</x:v>
      </x:c>
      <x:c r="L15" s="22" t="n">
        <x:v>0</x:v>
      </x:c>
      <x:c r="M15" s="22" t="n">
        <x:v>239.52095808383234</x:v>
      </x:c>
      <x:c r="N15" s="22" t="n">
        <x:v>1542.5149700598804</x:v>
      </x:c>
      <x:c r="O15" s="22" t="n">
        <x:v>1542.51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173.4131736526946</x:v>
      </x:c>
      <x:c r="D16" s="22" t="n">
        <x:v>93.89221556886228</x:v>
      </x:c>
      <x:c r="E16" s="22" t="n">
        <x:v>210.77844311377245</x:v>
      </x:c>
      <x:c r="F16" s="22" t="n">
        <x:v>344.9101796407186</x:v>
      </x:c>
      <x:c r="G16" s="22" t="n">
        <x:v>0</x:v>
      </x:c>
      <x:c r="H16" s="22" t="n">
        <x:v>0</x:v>
      </x:c>
      <x:c r="I16" s="22" t="n">
        <x:v>287.4251497005988</x:v>
      </x:c>
      <x:c r="J16" s="22" t="n">
        <x:v>0</x:v>
      </x:c>
      <x:c r="K16" s="22" t="n">
        <x:v>0</x:v>
      </x:c>
      <x:c r="L16" s="22" t="n">
        <x:v>0</x:v>
      </x:c>
      <x:c r="M16" s="22" t="n">
        <x:v>239.52095808383234</x:v>
      </x:c>
      <x:c r="N16" s="22" t="n">
        <x:v>1349.940119760479</x:v>
      </x:c>
      <x:c r="O16" s="22" t="n">
        <x:v>1349.94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185.8682634730539</x:v>
      </x:c>
      <x:c r="D17" s="22" t="n">
        <x:v>97.7245508982036</x:v>
      </x:c>
      <x:c r="E17" s="22" t="n">
        <x:v>210.77844311377245</x:v>
      </x:c>
      <x:c r="F17" s="22" t="n">
        <x:v>0</x:v>
      </x:c>
      <x:c r="G17" s="22" t="n">
        <x:v>0</x:v>
      </x:c>
      <x:c r="H17" s="22" t="n">
        <x:v>0</x:v>
      </x:c>
      <x:c r="I17" s="22" t="n">
        <x:v>306.5868263473054</x:v>
      </x:c>
      <x:c r="J17" s="22" t="n">
        <x:v>0</x:v>
      </x:c>
      <x:c r="K17" s="22" t="n">
        <x:v>0</x:v>
      </x:c>
      <x:c r="L17" s="22" t="n">
        <x:v>1676.6467065868264</x:v>
      </x:c>
      <x:c r="M17" s="22" t="n">
        <x:v>239.52095808383234</x:v>
      </x:c>
      <x:c r="N17" s="22" t="n">
        <x:v>2717.125748502994</x:v>
      </x:c>
      <x:c r="O17" s="22" t="n">
        <x:v>2717.13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Buse Özdemir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B002-R006</x:v>
      </x:c>
    </x:row>
    <x:row r="4">
      <x:c r="A4" s="7" t="str">
        <x:v>Ad Soyad</x:v>
      </x:c>
      <x:c r="B4" t="str">
        <x:v>Buse Özdemir</x:v>
      </x:c>
    </x:row>
    <x:row r="5">
      <x:c r="A5" s="7" t="str">
        <x:v>Daire No</x:v>
      </x:c>
      <x:c r="B5" t="n">
        <x:v>6</x:v>
      </x:c>
    </x:row>
    <x:row r="6">
      <x:c r="A6" s="7" t="str">
        <x:v>Net m²</x:v>
      </x:c>
      <x:c r="B6" s="16" t="n">
        <x:v>118</x:v>
      </x:c>
    </x:row>
    <x:row r="7">
      <x:c r="A7" s="7" t="str">
        <x:v>Ortak Gider Payı</x:v>
      </x:c>
      <x:c r="B7" s="18" t="n">
        <x:v>0.11776447105788423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182.53493013972056</x:v>
      </x:c>
      <x:c r="D11" s="22" t="n">
        <x:v>96.56686626746507</x:v>
      </x:c>
      <x:c r="E11" s="22" t="n">
        <x:v>247.30538922155688</x:v>
      </x:c>
      <x:c r="F11" s="22" t="n">
        <x:v>211.97604790419163</x:v>
      </x:c>
      <x:c r="G11" s="22" t="n">
        <x:v>0</x:v>
      </x:c>
      <x:c r="H11" s="22" t="n">
        <x:v>0</x:v>
      </x:c>
      <x:c r="I11" s="22" t="n">
        <x:v>329.74051896207584</x:v>
      </x:c>
      <x:c r="J11" s="22" t="n">
        <x:v>0</x:v>
      </x:c>
      <x:c r="K11" s="22" t="n">
        <x:v>0</x:v>
      </x:c>
      <x:c r="L11" s="22" t="n">
        <x:v>0</x:v>
      </x:c>
      <x:c r="M11" s="22" t="n">
        <x:v>294.41117764471056</x:v>
      </x:c>
      <x:c r="N11" s="22" t="n">
        <x:v>1362.5349301397205</x:v>
      </x:c>
      <x:c r="O11" s="22" t="n">
        <x:v>1362.53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194.311377245509</x:v>
      </x:c>
      <x:c r="D12" s="22" t="n">
        <x:v>100.0998003992016</x:v>
      </x:c>
      <x:c r="E12" s="22" t="n">
        <x:v>247.30538922155688</x:v>
      </x:c>
      <x:c r="F12" s="22" t="n">
        <x:v>0</x:v>
      </x:c>
      <x:c r="G12" s="22" t="n">
        <x:v>376.8463073852296</x:v>
      </x:c>
      <x:c r="H12" s="22" t="n">
        <x:v>0</x:v>
      </x:c>
      <x:c r="I12" s="22" t="n">
        <x:v>329.74051896207584</x:v>
      </x:c>
      <x:c r="J12" s="22" t="n">
        <x:v>0</x:v>
      </x:c>
      <x:c r="K12" s="22" t="n">
        <x:v>0</x:v>
      </x:c>
      <x:c r="L12" s="22" t="n">
        <x:v>0</x:v>
      </x:c>
      <x:c r="M12" s="22" t="n">
        <x:v>294.41117764471056</x:v>
      </x:c>
      <x:c r="N12" s="22" t="n">
        <x:v>1542.7145708582834</x:v>
      </x:c>
      <x:c r="O12" s="22" t="n">
        <x:v>1542.71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202.5548902195609</x:v>
      </x:c>
      <x:c r="D13" s="22" t="n">
        <x:v>108.3433133732535</x:v>
      </x:c>
      <x:c r="E13" s="22" t="n">
        <x:v>247.30538922155688</x:v>
      </x:c>
      <x:c r="F13" s="22" t="n">
        <x:v>282.63473053892216</x:v>
      </x:c>
      <x:c r="G13" s="22" t="n">
        <x:v>0</x:v>
      </x:c>
      <x:c r="H13" s="22" t="n">
        <x:v>494.61077844311376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294.41117764471056</x:v>
      </x:c>
      <x:c r="N13" s="22" t="n">
        <x:v>1629.8602794411177</x:v>
      </x:c>
      <x:c r="O13" s="22" t="n">
        <x:v>0</x:v>
      </x:c>
      <x:c r="P13" s="22" t="n">
        <x:v>1629.86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186.0678642714571</x:v>
      </x:c>
      <x:c r="D14" s="22" t="n">
        <x:v>104.81037924151697</x:v>
      </x:c>
      <x:c r="E14" s="22" t="n">
        <x:v>247.30538922155688</x:v>
      </x:c>
      <x:c r="F14" s="22" t="n">
        <x:v>0</x:v>
      </x:c>
      <x:c r="G14" s="22" t="n">
        <x:v>0</x:v>
      </x:c>
      <x:c r="H14" s="22" t="n">
        <x:v>0</x:v>
      </x:c>
      <x:c r="I14" s="22" t="n">
        <x:v>353.2934131736527</x:v>
      </x:c>
      <x:c r="J14" s="22" t="n">
        <x:v>0</x:v>
      </x:c>
      <x:c r="K14" s="22" t="n">
        <x:v>447.5049900199601</x:v>
      </x:c>
      <x:c r="L14" s="22" t="n">
        <x:v>0</x:v>
      </x:c>
      <x:c r="M14" s="22" t="n">
        <x:v>294.41117764471056</x:v>
      </x:c>
      <x:c r="N14" s="22" t="n">
        <x:v>1633.3932135728544</x:v>
      </x:c>
      <x:c r="O14" s="22" t="n">
        <x:v>1633.39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199.02195608782435</x:v>
      </x:c>
      <x:c r="D15" s="22" t="n">
        <x:v>107.16566866267465</x:v>
      </x:c>
      <x:c r="E15" s="22" t="n">
        <x:v>259.08183632734534</x:v>
      </x:c>
      <x:c r="F15" s="22" t="n">
        <x:v>0</x:v>
      </x:c>
      <x:c r="G15" s="22" t="n">
        <x:v>730.1397205588822</x:v>
      </x:c>
      <x:c r="H15" s="22" t="n">
        <x:v>0</x:v>
      </x:c>
      <x:c r="I15" s="22" t="n">
        <x:v>0</x:v>
      </x:c>
      <x:c r="J15" s="22" t="n">
        <x:v>306.187624750499</x:v>
      </x:c>
      <x:c r="K15" s="22" t="n">
        <x:v>0</x:v>
      </x:c>
      <x:c r="L15" s="22" t="n">
        <x:v>0</x:v>
      </x:c>
      <x:c r="M15" s="22" t="n">
        <x:v>294.41117764471056</x:v>
      </x:c>
      <x:c r="N15" s="22" t="n">
        <x:v>1896.007984031936</x:v>
      </x:c>
      <x:c r="O15" s="22" t="n">
        <x:v>1896.01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213.15369261477048</x:v>
      </x:c>
      <x:c r="D16" s="22" t="n">
        <x:v>115.40918163672654</x:v>
      </x:c>
      <x:c r="E16" s="22" t="n">
        <x:v>259.08183632734534</x:v>
      </x:c>
      <x:c r="F16" s="22" t="n">
        <x:v>423.95209580838326</x:v>
      </x:c>
      <x:c r="G16" s="22" t="n">
        <x:v>0</x:v>
      </x:c>
      <x:c r="H16" s="22" t="n">
        <x:v>0</x:v>
      </x:c>
      <x:c r="I16" s="22" t="n">
        <x:v>353.2934131736527</x:v>
      </x:c>
      <x:c r="J16" s="22" t="n">
        <x:v>0</x:v>
      </x:c>
      <x:c r="K16" s="22" t="n">
        <x:v>0</x:v>
      </x:c>
      <x:c r="L16" s="22" t="n">
        <x:v>0</x:v>
      </x:c>
      <x:c r="M16" s="22" t="n">
        <x:v>294.41117764471056</x:v>
      </x:c>
      <x:c r="N16" s="22" t="n">
        <x:v>1659.301397205589</x:v>
      </x:c>
      <x:c r="O16" s="22" t="n">
        <x:v>1659.3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228.46307385229542</x:v>
      </x:c>
      <x:c r="D17" s="22" t="n">
        <x:v>120.11976047904191</x:v>
      </x:c>
      <x:c r="E17" s="22" t="n">
        <x:v>259.08183632734534</x:v>
      </x:c>
      <x:c r="F17" s="22" t="n">
        <x:v>0</x:v>
      </x:c>
      <x:c r="G17" s="22" t="n">
        <x:v>0</x:v>
      </x:c>
      <x:c r="H17" s="22" t="n">
        <x:v>0</x:v>
      </x:c>
      <x:c r="I17" s="22" t="n">
        <x:v>376.8463073852296</x:v>
      </x:c>
      <x:c r="J17" s="22" t="n">
        <x:v>0</x:v>
      </x:c>
      <x:c r="K17" s="22" t="n">
        <x:v>0</x:v>
      </x:c>
      <x:c r="L17" s="22" t="n">
        <x:v>2060.878243512974</x:v>
      </x:c>
      <x:c r="M17" s="22" t="n">
        <x:v>294.41117764471056</x:v>
      </x:c>
      <x:c r="N17" s="22" t="n">
        <x:v>3339.800399201597</x:v>
      </x:c>
      <x:c r="O17" s="22" t="n">
        <x:v>3339.8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Deniz Polat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B002-R007</x:v>
      </x:c>
    </x:row>
    <x:row r="4">
      <x:c r="A4" s="7" t="str">
        <x:v>Ad Soyad</x:v>
      </x:c>
      <x:c r="B4" t="str">
        <x:v>Deniz Polat</x:v>
      </x:c>
    </x:row>
    <x:row r="5">
      <x:c r="A5" s="7" t="str">
        <x:v>Daire No</x:v>
      </x:c>
      <x:c r="B5" t="n">
        <x:v>7</x:v>
      </x:c>
    </x:row>
    <x:row r="6">
      <x:c r="A6" s="7" t="str">
        <x:v>Net m²</x:v>
      </x:c>
      <x:c r="B6" s="16" t="n">
        <x:v>72</x:v>
      </x:c>
    </x:row>
    <x:row r="7">
      <x:c r="A7" s="7" t="str">
        <x:v>Ortak Gider Payı</x:v>
      </x:c>
      <x:c r="B7" s="18" t="n">
        <x:v>0.0718562874251497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111.37724550898203</x:v>
      </x:c>
      <x:c r="D11" s="22" t="n">
        <x:v>58.92215568862275</x:v>
      </x:c>
      <x:c r="E11" s="22" t="n">
        <x:v>150.89820359281435</x:v>
      </x:c>
      <x:c r="F11" s="22" t="n">
        <x:v>129.34131736526945</x:v>
      </x:c>
      <x:c r="G11" s="22" t="n">
        <x:v>0</x:v>
      </x:c>
      <x:c r="H11" s="22" t="n">
        <x:v>0</x:v>
      </x:c>
      <x:c r="I11" s="22" t="n">
        <x:v>201.19760479041915</x:v>
      </x:c>
      <x:c r="J11" s="22" t="n">
        <x:v>0</x:v>
      </x:c>
      <x:c r="K11" s="22" t="n">
        <x:v>0</x:v>
      </x:c>
      <x:c r="L11" s="22" t="n">
        <x:v>0</x:v>
      </x:c>
      <x:c r="M11" s="22" t="n">
        <x:v>179.64071856287424</x:v>
      </x:c>
      <x:c r="N11" s="22" t="n">
        <x:v>831.377245508982</x:v>
      </x:c>
      <x:c r="O11" s="22" t="n">
        <x:v>831.38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118.562874251497</x:v>
      </x:c>
      <x:c r="D12" s="22" t="n">
        <x:v>61.07784431137724</x:v>
      </x:c>
      <x:c r="E12" s="22" t="n">
        <x:v>150.89820359281435</x:v>
      </x:c>
      <x:c r="F12" s="22" t="n">
        <x:v>0</x:v>
      </x:c>
      <x:c r="G12" s="22" t="n">
        <x:v>229.94011976047904</x:v>
      </x:c>
      <x:c r="H12" s="22" t="n">
        <x:v>0</x:v>
      </x:c>
      <x:c r="I12" s="22" t="n">
        <x:v>201.19760479041915</x:v>
      </x:c>
      <x:c r="J12" s="22" t="n">
        <x:v>0</x:v>
      </x:c>
      <x:c r="K12" s="22" t="n">
        <x:v>0</x:v>
      </x:c>
      <x:c r="L12" s="22" t="n">
        <x:v>0</x:v>
      </x:c>
      <x:c r="M12" s="22" t="n">
        <x:v>179.64071856287424</x:v>
      </x:c>
      <x:c r="N12" s="22" t="n">
        <x:v>941.317365269461</x:v>
      </x:c>
      <x:c r="O12" s="22" t="n">
        <x:v>941.32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123.59281437125748</x:v>
      </x:c>
      <x:c r="D13" s="22" t="n">
        <x:v>66.10778443113772</x:v>
      </x:c>
      <x:c r="E13" s="22" t="n">
        <x:v>150.89820359281435</x:v>
      </x:c>
      <x:c r="F13" s="22" t="n">
        <x:v>172.45508982035926</x:v>
      </x:c>
      <x:c r="G13" s="22" t="n">
        <x:v>0</x:v>
      </x:c>
      <x:c r="H13" s="22" t="n">
        <x:v>301.7964071856287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179.64071856287424</x:v>
      </x:c>
      <x:c r="N13" s="22" t="n">
        <x:v>994.4910179640717</x:v>
      </x:c>
      <x:c r="O13" s="22" t="n">
        <x:v>994.49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113.53293413173652</x:v>
      </x:c>
      <x:c r="D14" s="22" t="n">
        <x:v>63.952095808383234</x:v>
      </x:c>
      <x:c r="E14" s="22" t="n">
        <x:v>150.89820359281435</x:v>
      </x:c>
      <x:c r="F14" s="22" t="n">
        <x:v>0</x:v>
      </x:c>
      <x:c r="G14" s="22" t="n">
        <x:v>0</x:v>
      </x:c>
      <x:c r="H14" s="22" t="n">
        <x:v>0</x:v>
      </x:c>
      <x:c r="I14" s="22" t="n">
        <x:v>215.5688622754491</x:v>
      </x:c>
      <x:c r="J14" s="22" t="n">
        <x:v>0</x:v>
      </x:c>
      <x:c r="K14" s="22" t="n">
        <x:v>273.05389221556885</x:v>
      </x:c>
      <x:c r="L14" s="22" t="n">
        <x:v>0</x:v>
      </x:c>
      <x:c r="M14" s="22" t="n">
        <x:v>179.64071856287424</x:v>
      </x:c>
      <x:c r="N14" s="22" t="n">
        <x:v>996.6467065868263</x:v>
      </x:c>
      <x:c r="O14" s="22" t="n">
        <x:v>996.65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121.437125748503</x:v>
      </x:c>
      <x:c r="D15" s="22" t="n">
        <x:v>65.38922155688623</x:v>
      </x:c>
      <x:c r="E15" s="22" t="n">
        <x:v>158.08383233532933</x:v>
      </x:c>
      <x:c r="F15" s="22" t="n">
        <x:v>0</x:v>
      </x:c>
      <x:c r="G15" s="22" t="n">
        <x:v>445.5089820359281</x:v>
      </x:c>
      <x:c r="H15" s="22" t="n">
        <x:v>0</x:v>
      </x:c>
      <x:c r="I15" s="22" t="n">
        <x:v>0</x:v>
      </x:c>
      <x:c r="J15" s="22" t="n">
        <x:v>186.82634730538922</x:v>
      </x:c>
      <x:c r="K15" s="22" t="n">
        <x:v>0</x:v>
      </x:c>
      <x:c r="L15" s="22" t="n">
        <x:v>0</x:v>
      </x:c>
      <x:c r="M15" s="22" t="n">
        <x:v>179.64071856287424</x:v>
      </x:c>
      <x:c r="N15" s="22" t="n">
        <x:v>1156.88622754491</x:v>
      </x:c>
      <x:c r="O15" s="22" t="n">
        <x:v>578.44</x:v>
      </x:c>
      <x:c r="P15" s="22" t="n">
        <x:v>578.45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130.05988023952096</x:v>
      </x:c>
      <x:c r="D16" s="22" t="n">
        <x:v>70.41916167664671</x:v>
      </x:c>
      <x:c r="E16" s="22" t="n">
        <x:v>158.08383233532933</x:v>
      </x:c>
      <x:c r="F16" s="22" t="n">
        <x:v>258.6826347305389</x:v>
      </x:c>
      <x:c r="G16" s="22" t="n">
        <x:v>0</x:v>
      </x:c>
      <x:c r="H16" s="22" t="n">
        <x:v>0</x:v>
      </x:c>
      <x:c r="I16" s="22" t="n">
        <x:v>215.5688622754491</x:v>
      </x:c>
      <x:c r="J16" s="22" t="n">
        <x:v>0</x:v>
      </x:c>
      <x:c r="K16" s="22" t="n">
        <x:v>0</x:v>
      </x:c>
      <x:c r="L16" s="22" t="n">
        <x:v>0</x:v>
      </x:c>
      <x:c r="M16" s="22" t="n">
        <x:v>179.64071856287424</x:v>
      </x:c>
      <x:c r="N16" s="22" t="n">
        <x:v>1012.4550898203593</x:v>
      </x:c>
      <x:c r="O16" s="22" t="n">
        <x:v>1012.46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139.4011976047904</x:v>
      </x:c>
      <x:c r="D17" s="22" t="n">
        <x:v>73.2934131736527</x:v>
      </x:c>
      <x:c r="E17" s="22" t="n">
        <x:v>158.08383233532933</x:v>
      </x:c>
      <x:c r="F17" s="22" t="n">
        <x:v>0</x:v>
      </x:c>
      <x:c r="G17" s="22" t="n">
        <x:v>0</x:v>
      </x:c>
      <x:c r="H17" s="22" t="n">
        <x:v>0</x:v>
      </x:c>
      <x:c r="I17" s="22" t="n">
        <x:v>229.94011976047904</x:v>
      </x:c>
      <x:c r="J17" s="22" t="n">
        <x:v>0</x:v>
      </x:c>
      <x:c r="K17" s="22" t="n">
        <x:v>0</x:v>
      </x:c>
      <x:c r="L17" s="22" t="n">
        <x:v>1257.4850299401196</x:v>
      </x:c>
      <x:c r="M17" s="22" t="n">
        <x:v>179.64071856287424</x:v>
      </x:c>
      <x:c r="N17" s="22" t="n">
        <x:v>2037.8443113772453</x:v>
      </x:c>
      <x:c r="O17" s="22" t="n">
        <x:v>0</x:v>
      </x:c>
      <x:c r="P17" s="22" t="n">
        <x:v>2037.84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Derya Koç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B002-R008</x:v>
      </x:c>
    </x:row>
    <x:row r="4">
      <x:c r="A4" s="7" t="str">
        <x:v>Ad Soyad</x:v>
      </x:c>
      <x:c r="B4" t="str">
        <x:v>Derya Koç</x:v>
      </x:c>
    </x:row>
    <x:row r="5">
      <x:c r="A5" s="7" t="str">
        <x:v>Daire No</x:v>
      </x:c>
      <x:c r="B5" t="n">
        <x:v>8</x:v>
      </x:c>
    </x:row>
    <x:row r="6">
      <x:c r="A6" s="7" t="str">
        <x:v>Net m²</x:v>
      </x:c>
      <x:c r="B6" s="16" t="n">
        <x:v>158</x:v>
      </x:c>
    </x:row>
    <x:row r="7">
      <x:c r="A7" s="7" t="str">
        <x:v>Ortak Gider Payı</x:v>
      </x:c>
      <x:c r="B7" s="18" t="n">
        <x:v>0.15768463073852296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244.4111776447106</x:v>
      </x:c>
      <x:c r="D11" s="22" t="n">
        <x:v>129.3013972055888</x:v>
      </x:c>
      <x:c r="E11" s="22" t="n">
        <x:v>331.1377245508982</x:v>
      </x:c>
      <x:c r="F11" s="22" t="n">
        <x:v>283.83233532934133</x:v>
      </x:c>
      <x:c r="G11" s="22" t="n">
        <x:v>0</x:v>
      </x:c>
      <x:c r="H11" s="22" t="n">
        <x:v>0</x:v>
      </x:c>
      <x:c r="I11" s="22" t="n">
        <x:v>441.5169660678643</x:v>
      </x:c>
      <x:c r="J11" s="22" t="n">
        <x:v>0</x:v>
      </x:c>
      <x:c r="K11" s="22" t="n">
        <x:v>0</x:v>
      </x:c>
      <x:c r="L11" s="22" t="n">
        <x:v>0</x:v>
      </x:c>
      <x:c r="M11" s="22" t="n">
        <x:v>394.21157684630737</x:v>
      </x:c>
      <x:c r="N11" s="22" t="n">
        <x:v>1824.4111776447107</x:v>
      </x:c>
      <x:c r="O11" s="22" t="n">
        <x:v>1824.41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260.1796407185629</x:v>
      </x:c>
      <x:c r="D12" s="22" t="n">
        <x:v>134.0319361277445</x:v>
      </x:c>
      <x:c r="E12" s="22" t="n">
        <x:v>331.1377245508982</x:v>
      </x:c>
      <x:c r="F12" s="22" t="n">
        <x:v>0</x:v>
      </x:c>
      <x:c r="G12" s="22" t="n">
        <x:v>504.59081836327346</x:v>
      </x:c>
      <x:c r="H12" s="22" t="n">
        <x:v>0</x:v>
      </x:c>
      <x:c r="I12" s="22" t="n">
        <x:v>441.5169660678643</x:v>
      </x:c>
      <x:c r="J12" s="22" t="n">
        <x:v>0</x:v>
      </x:c>
      <x:c r="K12" s="22" t="n">
        <x:v>0</x:v>
      </x:c>
      <x:c r="L12" s="22" t="n">
        <x:v>0</x:v>
      </x:c>
      <x:c r="M12" s="22" t="n">
        <x:v>394.21157684630737</x:v>
      </x:c>
      <x:c r="N12" s="22" t="n">
        <x:v>2065.668662674651</x:v>
      </x:c>
      <x:c r="O12" s="22" t="n">
        <x:v>2065.67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271.2175648702595</x:v>
      </x:c>
      <x:c r="D13" s="22" t="n">
        <x:v>145.06986027944112</x:v>
      </x:c>
      <x:c r="E13" s="22" t="n">
        <x:v>331.1377245508982</x:v>
      </x:c>
      <x:c r="F13" s="22" t="n">
        <x:v>378.4431137724551</x:v>
      </x:c>
      <x:c r="G13" s="22" t="n">
        <x:v>0</x:v>
      </x:c>
      <x:c r="H13" s="22" t="n">
        <x:v>662.2754491017964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394.21157684630737</x:v>
      </x:c>
      <x:c r="N13" s="22" t="n">
        <x:v>2182.3552894211575</x:v>
      </x:c>
      <x:c r="O13" s="22" t="n">
        <x:v>2182.36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249.14171656686628</x:v>
      </x:c>
      <x:c r="D14" s="22" t="n">
        <x:v>140.33932135728543</x:v>
      </x:c>
      <x:c r="E14" s="22" t="n">
        <x:v>331.1377245508982</x:v>
      </x:c>
      <x:c r="F14" s="22" t="n">
        <x:v>0</x:v>
      </x:c>
      <x:c r="G14" s="22" t="n">
        <x:v>0</x:v>
      </x:c>
      <x:c r="H14" s="22" t="n">
        <x:v>0</x:v>
      </x:c>
      <x:c r="I14" s="22" t="n">
        <x:v>473.05389221556885</x:v>
      </x:c>
      <x:c r="J14" s="22" t="n">
        <x:v>0</x:v>
      </x:c>
      <x:c r="K14" s="22" t="n">
        <x:v>599.2015968063872</x:v>
      </x:c>
      <x:c r="L14" s="22" t="n">
        <x:v>0</x:v>
      </x:c>
      <x:c r="M14" s="22" t="n">
        <x:v>394.21157684630737</x:v>
      </x:c>
      <x:c r="N14" s="22" t="n">
        <x:v>2187.0858283433136</x:v>
      </x:c>
      <x:c r="O14" s="22" t="n">
        <x:v>2187.09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266.4870259481038</x:v>
      </x:c>
      <x:c r="D15" s="22" t="n">
        <x:v>143.49301397205588</x:v>
      </x:c>
      <x:c r="E15" s="22" t="n">
        <x:v>346.9061876247505</x:v>
      </x:c>
      <x:c r="F15" s="22" t="n">
        <x:v>0</x:v>
      </x:c>
      <x:c r="G15" s="22" t="n">
        <x:v>977.6447105788424</x:v>
      </x:c>
      <x:c r="H15" s="22" t="n">
        <x:v>0</x:v>
      </x:c>
      <x:c r="I15" s="22" t="n">
        <x:v>0</x:v>
      </x:c>
      <x:c r="J15" s="22" t="n">
        <x:v>409.9800399201597</x:v>
      </x:c>
      <x:c r="K15" s="22" t="n">
        <x:v>0</x:v>
      </x:c>
      <x:c r="L15" s="22" t="n">
        <x:v>0</x:v>
      </x:c>
      <x:c r="M15" s="22" t="n">
        <x:v>394.21157684630737</x:v>
      </x:c>
      <x:c r="N15" s="22" t="n">
        <x:v>2538.7225548902197</x:v>
      </x:c>
      <x:c r="O15" s="22" t="n">
        <x:v>2538.72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285.40918163672654</x:v>
      </x:c>
      <x:c r="D16" s="22" t="n">
        <x:v>154.5309381237525</x:v>
      </x:c>
      <x:c r="E16" s="22" t="n">
        <x:v>346.9061876247505</x:v>
      </x:c>
      <x:c r="F16" s="22" t="n">
        <x:v>567.6646706586827</x:v>
      </x:c>
      <x:c r="G16" s="22" t="n">
        <x:v>0</x:v>
      </x:c>
      <x:c r="H16" s="22" t="n">
        <x:v>0</x:v>
      </x:c>
      <x:c r="I16" s="22" t="n">
        <x:v>473.05389221556885</x:v>
      </x:c>
      <x:c r="J16" s="22" t="n">
        <x:v>0</x:v>
      </x:c>
      <x:c r="K16" s="22" t="n">
        <x:v>0</x:v>
      </x:c>
      <x:c r="L16" s="22" t="n">
        <x:v>0</x:v>
      </x:c>
      <x:c r="M16" s="22" t="n">
        <x:v>394.21157684630737</x:v>
      </x:c>
      <x:c r="N16" s="22" t="n">
        <x:v>2221.7764471057885</x:v>
      </x:c>
      <x:c r="O16" s="22" t="n">
        <x:v>2221.78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305.90818363273456</x:v>
      </x:c>
      <x:c r="D17" s="22" t="n">
        <x:v>160.83832335329342</x:v>
      </x:c>
      <x:c r="E17" s="22" t="n">
        <x:v>346.9061876247505</x:v>
      </x:c>
      <x:c r="F17" s="22" t="n">
        <x:v>0</x:v>
      </x:c>
      <x:c r="G17" s="22" t="n">
        <x:v>0</x:v>
      </x:c>
      <x:c r="H17" s="22" t="n">
        <x:v>0</x:v>
      </x:c>
      <x:c r="I17" s="22" t="n">
        <x:v>504.59081836327346</x:v>
      </x:c>
      <x:c r="J17" s="22" t="n">
        <x:v>0</x:v>
      </x:c>
      <x:c r="K17" s="22" t="n">
        <x:v>0</x:v>
      </x:c>
      <x:c r="L17" s="22" t="n">
        <x:v>2759.4810379241517</x:v>
      </x:c>
      <x:c r="M17" s="22" t="n">
        <x:v>394.21157684630737</x:v>
      </x:c>
      <x:c r="N17" s="22" t="n">
        <x:v>4471.936127744511</x:v>
      </x:c>
      <x:c r="O17" s="22" t="n">
        <x:v>0</x:v>
      </x:c>
      <x:c r="P17" s="22" t="n">
        <x:v>4471.94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Elif Polat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B002-R009</x:v>
      </x:c>
    </x:row>
    <x:row r="4">
      <x:c r="A4" s="7" t="str">
        <x:v>Ad Soyad</x:v>
      </x:c>
      <x:c r="B4" t="str">
        <x:v>Elif Polat</x:v>
      </x:c>
    </x:row>
    <x:row r="5">
      <x:c r="A5" s="7" t="str">
        <x:v>Daire No</x:v>
      </x:c>
      <x:c r="B5" t="n">
        <x:v>9</x:v>
      </x:c>
    </x:row>
    <x:row r="6">
      <x:c r="A6" s="7" t="str">
        <x:v>Net m²</x:v>
      </x:c>
      <x:c r="B6" s="16" t="n">
        <x:v>84</x:v>
      </x:c>
    </x:row>
    <x:row r="7">
      <x:c r="A7" s="7" t="str">
        <x:v>Ortak Gider Payı</x:v>
      </x:c>
      <x:c r="B7" s="18" t="n">
        <x:v>0.08383233532934131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129.94011976047904</x:v>
      </x:c>
      <x:c r="D11" s="22" t="n">
        <x:v>68.74251497005987</x:v>
      </x:c>
      <x:c r="E11" s="22" t="n">
        <x:v>176.04790419161677</x:v>
      </x:c>
      <x:c r="F11" s="22" t="n">
        <x:v>150.89820359281435</x:v>
      </x:c>
      <x:c r="G11" s="22" t="n">
        <x:v>0</x:v>
      </x:c>
      <x:c r="H11" s="22" t="n">
        <x:v>0</x:v>
      </x:c>
      <x:c r="I11" s="22" t="n">
        <x:v>234.7305389221557</x:v>
      </x:c>
      <x:c r="J11" s="22" t="n">
        <x:v>0</x:v>
      </x:c>
      <x:c r="K11" s="22" t="n">
        <x:v>0</x:v>
      </x:c>
      <x:c r="L11" s="22" t="n">
        <x:v>0</x:v>
      </x:c>
      <x:c r="M11" s="22" t="n">
        <x:v>209.58083832335328</x:v>
      </x:c>
      <x:c r="N11" s="22" t="n">
        <x:v>969.940119760479</x:v>
      </x:c>
      <x:c r="O11" s="22" t="n">
        <x:v>969.94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138.32335329341316</x:v>
      </x:c>
      <x:c r="D12" s="22" t="n">
        <x:v>71.25748502994011</x:v>
      </x:c>
      <x:c r="E12" s="22" t="n">
        <x:v>176.04790419161677</x:v>
      </x:c>
      <x:c r="F12" s="22" t="n">
        <x:v>0</x:v>
      </x:c>
      <x:c r="G12" s="22" t="n">
        <x:v>268.2634730538922</x:v>
      </x:c>
      <x:c r="H12" s="22" t="n">
        <x:v>0</x:v>
      </x:c>
      <x:c r="I12" s="22" t="n">
        <x:v>234.7305389221557</x:v>
      </x:c>
      <x:c r="J12" s="22" t="n">
        <x:v>0</x:v>
      </x:c>
      <x:c r="K12" s="22" t="n">
        <x:v>0</x:v>
      </x:c>
      <x:c r="L12" s="22" t="n">
        <x:v>0</x:v>
      </x:c>
      <x:c r="M12" s="22" t="n">
        <x:v>209.58083832335328</x:v>
      </x:c>
      <x:c r="N12" s="22" t="n">
        <x:v>1098.2035928143712</x:v>
      </x:c>
      <x:c r="O12" s="22" t="n">
        <x:v>1098.2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144.19161676646706</x:v>
      </x:c>
      <x:c r="D13" s="22" t="n">
        <x:v>77.12574850299401</x:v>
      </x:c>
      <x:c r="E13" s="22" t="n">
        <x:v>176.04790419161677</x:v>
      </x:c>
      <x:c r="F13" s="22" t="n">
        <x:v>201.19760479041915</x:v>
      </x:c>
      <x:c r="G13" s="22" t="n">
        <x:v>0</x:v>
      </x:c>
      <x:c r="H13" s="22" t="n">
        <x:v>352.09580838323353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209.58083832335328</x:v>
      </x:c>
      <x:c r="N13" s="22" t="n">
        <x:v>1160.2395209580839</x:v>
      </x:c>
      <x:c r="O13" s="22" t="n">
        <x:v>1160.24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132.45508982035926</x:v>
      </x:c>
      <x:c r="D14" s="22" t="n">
        <x:v>74.61077844311377</x:v>
      </x:c>
      <x:c r="E14" s="22" t="n">
        <x:v>176.04790419161677</x:v>
      </x:c>
      <x:c r="F14" s="22" t="n">
        <x:v>0</x:v>
      </x:c>
      <x:c r="G14" s="22" t="n">
        <x:v>0</x:v>
      </x:c>
      <x:c r="H14" s="22" t="n">
        <x:v>0</x:v>
      </x:c>
      <x:c r="I14" s="22" t="n">
        <x:v>251.49700598802394</x:v>
      </x:c>
      <x:c r="J14" s="22" t="n">
        <x:v>0</x:v>
      </x:c>
      <x:c r="K14" s="22" t="n">
        <x:v>318.56287425149696</x:v>
      </x:c>
      <x:c r="L14" s="22" t="n">
        <x:v>0</x:v>
      </x:c>
      <x:c r="M14" s="22" t="n">
        <x:v>209.58083832335328</x:v>
      </x:c>
      <x:c r="N14" s="22" t="n">
        <x:v>1162.754491017964</x:v>
      </x:c>
      <x:c r="O14" s="22" t="n">
        <x:v>1162.75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141.6766467065868</x:v>
      </x:c>
      <x:c r="D15" s="22" t="n">
        <x:v>76.2874251497006</x:v>
      </x:c>
      <x:c r="E15" s="22" t="n">
        <x:v>184.4311377245509</x:v>
      </x:c>
      <x:c r="F15" s="22" t="n">
        <x:v>0</x:v>
      </x:c>
      <x:c r="G15" s="22" t="n">
        <x:v>519.7604790419161</x:v>
      </x:c>
      <x:c r="H15" s="22" t="n">
        <x:v>0</x:v>
      </x:c>
      <x:c r="I15" s="22" t="n">
        <x:v>0</x:v>
      </x:c>
      <x:c r="J15" s="22" t="n">
        <x:v>217.9640718562874</x:v>
      </x:c>
      <x:c r="K15" s="22" t="n">
        <x:v>0</x:v>
      </x:c>
      <x:c r="L15" s="22" t="n">
        <x:v>0</x:v>
      </x:c>
      <x:c r="M15" s="22" t="n">
        <x:v>209.58083832335328</x:v>
      </x:c>
      <x:c r="N15" s="22" t="n">
        <x:v>1349.7005988023952</x:v>
      </x:c>
      <x:c r="O15" s="22" t="n">
        <x:v>674.85</x:v>
      </x:c>
      <x:c r="P15" s="22" t="n">
        <x:v>674.85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151.73652694610777</x:v>
      </x:c>
      <x:c r="D16" s="22" t="n">
        <x:v>82.15568862275448</x:v>
      </x:c>
      <x:c r="E16" s="22" t="n">
        <x:v>184.4311377245509</x:v>
      </x:c>
      <x:c r="F16" s="22" t="n">
        <x:v>301.7964071856287</x:v>
      </x:c>
      <x:c r="G16" s="22" t="n">
        <x:v>0</x:v>
      </x:c>
      <x:c r="H16" s="22" t="n">
        <x:v>0</x:v>
      </x:c>
      <x:c r="I16" s="22" t="n">
        <x:v>251.49700598802394</x:v>
      </x:c>
      <x:c r="J16" s="22" t="n">
        <x:v>0</x:v>
      </x:c>
      <x:c r="K16" s="22" t="n">
        <x:v>0</x:v>
      </x:c>
      <x:c r="L16" s="22" t="n">
        <x:v>0</x:v>
      </x:c>
      <x:c r="M16" s="22" t="n">
        <x:v>209.58083832335328</x:v>
      </x:c>
      <x:c r="N16" s="22" t="n">
        <x:v>1181.197604790419</x:v>
      </x:c>
      <x:c r="O16" s="22" t="n">
        <x:v>1181.2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162.63473053892216</x:v>
      </x:c>
      <x:c r="D17" s="22" t="n">
        <x:v>85.50898203592814</x:v>
      </x:c>
      <x:c r="E17" s="22" t="n">
        <x:v>184.4311377245509</x:v>
      </x:c>
      <x:c r="F17" s="22" t="n">
        <x:v>0</x:v>
      </x:c>
      <x:c r="G17" s="22" t="n">
        <x:v>0</x:v>
      </x:c>
      <x:c r="H17" s="22" t="n">
        <x:v>0</x:v>
      </x:c>
      <x:c r="I17" s="22" t="n">
        <x:v>268.2634730538922</x:v>
      </x:c>
      <x:c r="J17" s="22" t="n">
        <x:v>0</x:v>
      </x:c>
      <x:c r="K17" s="22" t="n">
        <x:v>0</x:v>
      </x:c>
      <x:c r="L17" s="22" t="n">
        <x:v>1467.065868263473</x:v>
      </x:c>
      <x:c r="M17" s="22" t="n">
        <x:v>209.58083832335328</x:v>
      </x:c>
      <x:c r="N17" s="22" t="n">
        <x:v>2377.4850299401196</x:v>
      </x:c>
      <x:c r="O17" s="22" t="n">
        <x:v>2377.49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Mavişehir Apartmanı Sakini Aidat Ekstresi — Zeynep Eren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B002-R010</x:v>
      </x:c>
    </x:row>
    <x:row r="4">
      <x:c r="A4" s="7" t="str">
        <x:v>Ad Soyad</x:v>
      </x:c>
      <x:c r="B4" t="str">
        <x:v>Zeynep Eren</x:v>
      </x:c>
    </x:row>
    <x:row r="5">
      <x:c r="A5" s="7" t="str">
        <x:v>Daire No</x:v>
      </x:c>
      <x:c r="B5" t="n">
        <x:v>10</x:v>
      </x:c>
    </x:row>
    <x:row r="6">
      <x:c r="A6" s="7" t="str">
        <x:v>Net m²</x:v>
      </x:c>
      <x:c r="B6" s="16" t="n">
        <x:v>145</x:v>
      </x:c>
    </x:row>
    <x:row r="7">
      <x:c r="A7" s="7" t="str">
        <x:v>Ortak Gider Payı</x:v>
      </x:c>
      <x:c r="B7" s="18" t="n">
        <x:v>0.14471057884231536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224.3013972055888</x:v>
      </x:c>
      <x:c r="D11" s="22" t="n">
        <x:v>118.66267465069859</x:v>
      </x:c>
      <x:c r="E11" s="22" t="n">
        <x:v>303.89221556886224</x:v>
      </x:c>
      <x:c r="F11" s="22" t="n">
        <x:v>260.47904191616766</x:v>
      </x:c>
      <x:c r="G11" s="22" t="n">
        <x:v>0</x:v>
      </x:c>
      <x:c r="H11" s="22" t="n">
        <x:v>0</x:v>
      </x:c>
      <x:c r="I11" s="22" t="n">
        <x:v>405.189620758483</x:v>
      </x:c>
      <x:c r="J11" s="22" t="n">
        <x:v>0</x:v>
      </x:c>
      <x:c r="K11" s="22" t="n">
        <x:v>0</x:v>
      </x:c>
      <x:c r="L11" s="22" t="n">
        <x:v>0</x:v>
      </x:c>
      <x:c r="M11" s="22" t="n">
        <x:v>361.7764471057884</x:v>
      </x:c>
      <x:c r="N11" s="22" t="n">
        <x:v>1674.3013972055887</x:v>
      </x:c>
      <x:c r="O11" s="22" t="n">
        <x:v>1674.3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238.77245508982034</x:v>
      </x:c>
      <x:c r="D12" s="22" t="n">
        <x:v>123.00399201596805</x:v>
      </x:c>
      <x:c r="E12" s="22" t="n">
        <x:v>303.89221556886224</x:v>
      </x:c>
      <x:c r="F12" s="22" t="n">
        <x:v>0</x:v>
      </x:c>
      <x:c r="G12" s="22" t="n">
        <x:v>463.07385229540915</x:v>
      </x:c>
      <x:c r="H12" s="22" t="n">
        <x:v>0</x:v>
      </x:c>
      <x:c r="I12" s="22" t="n">
        <x:v>405.189620758483</x:v>
      </x:c>
      <x:c r="J12" s="22" t="n">
        <x:v>0</x:v>
      </x:c>
      <x:c r="K12" s="22" t="n">
        <x:v>0</x:v>
      </x:c>
      <x:c r="L12" s="22" t="n">
        <x:v>0</x:v>
      </x:c>
      <x:c r="M12" s="22" t="n">
        <x:v>361.7764471057884</x:v>
      </x:c>
      <x:c r="N12" s="22" t="n">
        <x:v>1895.708582834331</x:v>
      </x:c>
      <x:c r="O12" s="22" t="n">
        <x:v>1895.71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248.90219560878242</x:v>
      </x:c>
      <x:c r="D13" s="22" t="n">
        <x:v>133.13373253493015</x:v>
      </x:c>
      <x:c r="E13" s="22" t="n">
        <x:v>303.89221556886224</x:v>
      </x:c>
      <x:c r="F13" s="22" t="n">
        <x:v>347.3053892215569</x:v>
      </x:c>
      <x:c r="G13" s="22" t="n">
        <x:v>0</x:v>
      </x:c>
      <x:c r="H13" s="22" t="n">
        <x:v>607.7844311377245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361.7764471057884</x:v>
      </x:c>
      <x:c r="N13" s="22" t="n">
        <x:v>2002.7944111776446</x:v>
      </x:c>
      <x:c r="O13" s="22" t="n">
        <x:v>2002.79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228.64271457085826</x:v>
      </x:c>
      <x:c r="D14" s="22" t="n">
        <x:v>128.79241516966067</x:v>
      </x:c>
      <x:c r="E14" s="22" t="n">
        <x:v>303.89221556886224</x:v>
      </x:c>
      <x:c r="F14" s="22" t="n">
        <x:v>0</x:v>
      </x:c>
      <x:c r="G14" s="22" t="n">
        <x:v>0</x:v>
      </x:c>
      <x:c r="H14" s="22" t="n">
        <x:v>0</x:v>
      </x:c>
      <x:c r="I14" s="22" t="n">
        <x:v>434.1317365269461</x:v>
      </x:c>
      <x:c r="J14" s="22" t="n">
        <x:v>0</x:v>
      </x:c>
      <x:c r="K14" s="22" t="n">
        <x:v>549.9001996007984</x:v>
      </x:c>
      <x:c r="L14" s="22" t="n">
        <x:v>0</x:v>
      </x:c>
      <x:c r="M14" s="22" t="n">
        <x:v>361.7764471057884</x:v>
      </x:c>
      <x:c r="N14" s="22" t="n">
        <x:v>2007.135728542914</x:v>
      </x:c>
      <x:c r="O14" s="22" t="n">
        <x:v>2007.14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244.56087824351297</x:v>
      </x:c>
      <x:c r="D15" s="22" t="n">
        <x:v>131.686626746507</x:v>
      </x:c>
      <x:c r="E15" s="22" t="n">
        <x:v>318.3632734530938</x:v>
      </x:c>
      <x:c r="F15" s="22" t="n">
        <x:v>0</x:v>
      </x:c>
      <x:c r="G15" s="22" t="n">
        <x:v>897.2055888223553</x:v>
      </x:c>
      <x:c r="H15" s="22" t="n">
        <x:v>0</x:v>
      </x:c>
      <x:c r="I15" s="22" t="n">
        <x:v>0</x:v>
      </x:c>
      <x:c r="J15" s="22" t="n">
        <x:v>376.24750499001993</x:v>
      </x:c>
      <x:c r="K15" s="22" t="n">
        <x:v>0</x:v>
      </x:c>
      <x:c r="L15" s="22" t="n">
        <x:v>0</x:v>
      </x:c>
      <x:c r="M15" s="22" t="n">
        <x:v>361.7764471057884</x:v>
      </x:c>
      <x:c r="N15" s="22" t="n">
        <x:v>2329.8403193612776</x:v>
      </x:c>
      <x:c r="O15" s="22" t="n">
        <x:v>2329.84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261.9261477045908</x:v>
      </x:c>
      <x:c r="D16" s="22" t="n">
        <x:v>141.81636726546907</x:v>
      </x:c>
      <x:c r="E16" s="22" t="n">
        <x:v>318.3632734530938</x:v>
      </x:c>
      <x:c r="F16" s="22" t="n">
        <x:v>520.9580838323353</x:v>
      </x:c>
      <x:c r="G16" s="22" t="n">
        <x:v>0</x:v>
      </x:c>
      <x:c r="H16" s="22" t="n">
        <x:v>0</x:v>
      </x:c>
      <x:c r="I16" s="22" t="n">
        <x:v>434.1317365269461</x:v>
      </x:c>
      <x:c r="J16" s="22" t="n">
        <x:v>0</x:v>
      </x:c>
      <x:c r="K16" s="22" t="n">
        <x:v>0</x:v>
      </x:c>
      <x:c r="L16" s="22" t="n">
        <x:v>0</x:v>
      </x:c>
      <x:c r="M16" s="22" t="n">
        <x:v>361.7764471057884</x:v>
      </x:c>
      <x:c r="N16" s="22" t="n">
        <x:v>2038.9720558882236</x:v>
      </x:c>
      <x:c r="O16" s="22" t="n">
        <x:v>2038.97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280.7385229540918</x:v>
      </x:c>
      <x:c r="D17" s="22" t="n">
        <x:v>147.60479041916167</x:v>
      </x:c>
      <x:c r="E17" s="22" t="n">
        <x:v>318.3632734530938</x:v>
      </x:c>
      <x:c r="F17" s="22" t="n">
        <x:v>0</x:v>
      </x:c>
      <x:c r="G17" s="22" t="n">
        <x:v>0</x:v>
      </x:c>
      <x:c r="H17" s="22" t="n">
        <x:v>0</x:v>
      </x:c>
      <x:c r="I17" s="22" t="n">
        <x:v>463.07385229540915</x:v>
      </x:c>
      <x:c r="J17" s="22" t="n">
        <x:v>0</x:v>
      </x:c>
      <x:c r="K17" s="22" t="n">
        <x:v>0</x:v>
      </x:c>
      <x:c r="L17" s="22" t="n">
        <x:v>2532.4351297405187</x:v>
      </x:c>
      <x:c r="M17" s="22" t="n">
        <x:v>361.7764471057884</x:v>
      </x:c>
      <x:c r="N17" s="22" t="n">
        <x:v>4103.992015968063</x:v>
      </x:c>
      <x:c r="O17" s="22" t="n">
        <x:v>0</x:v>
      </x:c>
      <x:c r="P17" s="22" t="n">
        <x:v>4103.99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</x:cols>
  <x:sheetData>
    <x:row r="1" ht="30" customHeight="1">
      <x:c r="A1" s="3" t="str">
        <x:v>Mavişehir Apartmanı — Demo</x:v>
      </x:c>
      <x:c r="B1" s="3"/>
      <x:c r="C1" s="3"/>
      <x:c r="D1" s="3"/>
      <x:c r="E1" s="3"/>
      <x:c r="F1" s="3"/>
    </x:row>
    <x:row r="3">
      <x:c r="A3" s="7" t="str">
        <x:v>Bina Kodu</x:v>
      </x:c>
      <x:c r="B3" t="str">
        <x:v>B002</x:v>
      </x:c>
    </x:row>
    <x:row r="4">
      <x:c r="A4" s="7" t="str">
        <x:v>Bina</x:v>
      </x:c>
      <x:c r="B4" t="str">
        <x:v>Mavişehir Apartmanı</x:v>
      </x:c>
    </x:row>
    <x:row r="5">
      <x:c r="A5" s="7" t="str">
        <x:v>Konum</x:v>
      </x:c>
      <x:c r="B5" t="str">
        <x:v>Ataşehir</x:v>
      </x:c>
    </x:row>
    <x:row r="6">
      <x:c r="A6" s="7" t="str">
        <x:v>Daire Sayısı</x:v>
      </x:c>
      <x:c r="B6" t="n">
        <x:v>10</x:v>
      </x:c>
    </x:row>
    <x:row r="7">
      <x:c r="A7" s="7" t="str">
        <x:v>Toplam Net Alan</x:v>
      </x:c>
      <x:c r="B7" t="n">
        <x:v>1002</x:v>
      </x:c>
    </x:row>
    <x:row r="8">
      <x:c r="A8" s="7" t="str">
        <x:v>Aidat Sistemi</x:v>
      </x:c>
      <x:c r="B8" t="str">
        <x:v>Önceki ay giderleri</x:v>
      </x:c>
    </x:row>
    <x:row r="9">
      <x:c r="A9" s="7" t="str">
        <x:v>Paylaşım</x:v>
      </x:c>
      <x:c r="B9" t="str">
        <x:v>Net m² oranı</x:v>
      </x:c>
    </x:row>
    <x:row r="10">
      <x:c r="A10" s="7" t="str">
        <x:v>Yedek Fon</x:v>
      </x:c>
      <x:c r="B10" t="str">
        <x:v>Yok</x:v>
      </x:c>
    </x:row>
    <x:row r="11">
      <x:c r="A11" s="7" t="str">
        <x:v>Personel/SGK/Sigorta</x:v>
      </x:c>
      <x:c r="B11" t="str">
        <x:v>Yok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Kural</x:v>
      </x:c>
      <x:c r="B1" s="10" t="str">
        <x:v>Açıklama</x:v>
      </x:c>
    </x:row>
    <x:row r="2">
      <x:c r="A2" s="26" t="str">
        <x:v>Aidat</x:v>
      </x:c>
      <x:c r="B2" s="26" t="str">
        <x:v>Her ayın aidatı bir önceki ayın gerçekleşen ortak giderlerinden oluşur.</x:v>
      </x:c>
    </x:row>
    <x:row r="3">
      <x:c r="A3" s="26" t="str">
        <x:v>Dağıtım</x:v>
      </x:c>
      <x:c r="B3" s="26" t="str">
        <x:v>Giderler net m² oranında dairelere dağıtılır.</x:v>
      </x:c>
    </x:row>
    <x:row r="4">
      <x:c r="A4" s="26" t="str">
        <x:v>Yedek fon</x:v>
      </x:c>
      <x:c r="B4" s="26" t="str">
        <x:v>Yoktur.</x:v>
      </x:c>
    </x:row>
    <x:row r="5">
      <x:c r="A5" s="26" t="str">
        <x:v>Hariç</x:v>
      </x:c>
      <x:c r="B5" s="26" t="str">
        <x:v>Personel, SGK ve sigorta yoktur.</x:v>
      </x:c>
    </x:row>
    <x:row r="6">
      <x:c r="A6" s="26" t="str">
        <x:v>Dahil</x:v>
      </x:c>
      <x:c r="B6" s="26" t="str">
        <x:v>Yönetim hizmeti, ortak alan elektrik/su, asansör, jeneratör, hidrofor, yangın, temizlik, bahçe, onarım ve çatı vardır.</x:v>
      </x:c>
    </x:row>
  </x:sheetData>
  <x:pageMargins left="0.7" right="0.7" top="0.75" bottom="0.75" header="0.3" footer="0.3"/>
</x:worksheet>
</file>
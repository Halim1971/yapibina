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adc0dcb2e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ler" sheetId="1" r:id="R65caf4464cd345af"/>
    <x:sheet xmlns:r="http://schemas.openxmlformats.org/officeDocument/2006/relationships" name="Giderler" sheetId="2" r:id="Rb7d294fcda314100"/>
    <x:sheet xmlns:r="http://schemas.openxmlformats.org/officeDocument/2006/relationships" name="Aidat Ekstresi" sheetId="3" r:id="Re251869922ae4faa"/>
    <x:sheet xmlns:r="http://schemas.openxmlformats.org/officeDocument/2006/relationships" name="Banka Hareketleri" sheetId="4" r:id="R42afb9bc04804712"/>
    <x:sheet xmlns:r="http://schemas.openxmlformats.org/officeDocument/2006/relationships" name="B001-R001" sheetId="5" r:id="Rdd7a428d8c22407c"/>
    <x:sheet xmlns:r="http://schemas.openxmlformats.org/officeDocument/2006/relationships" name="B001-R002" sheetId="6" r:id="Re299ed96348e4e2a"/>
    <x:sheet xmlns:r="http://schemas.openxmlformats.org/officeDocument/2006/relationships" name="B001-R003" sheetId="7" r:id="R009e06d1312c4b2d"/>
    <x:sheet xmlns:r="http://schemas.openxmlformats.org/officeDocument/2006/relationships" name="B001-R004" sheetId="8" r:id="R068ed9f919864dc1"/>
    <x:sheet xmlns:r="http://schemas.openxmlformats.org/officeDocument/2006/relationships" name="B001-R005" sheetId="9" r:id="Ra0b6a35d4ded4e16"/>
    <x:sheet xmlns:r="http://schemas.openxmlformats.org/officeDocument/2006/relationships" name="B001-R006" sheetId="10" r:id="R77e46e2b2f0f4e33"/>
    <x:sheet xmlns:r="http://schemas.openxmlformats.org/officeDocument/2006/relationships" name="B001-R007" sheetId="11" r:id="R5fb5a0e35d5e42af"/>
    <x:sheet xmlns:r="http://schemas.openxmlformats.org/officeDocument/2006/relationships" name="Özet" sheetId="12" r:id="R284d7f39765b4f68"/>
    <x:sheet xmlns:r="http://schemas.openxmlformats.org/officeDocument/2006/relationships" name="Notlar" sheetId="13" r:id="R0b0b0d6c21ac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 &quot;m²&quot;"/>
    <x:numFmt numFmtId="201" formatCode="0.00%"/>
    <x:numFmt numFmtId="202" formatCode="dd.mm.yyyy"/>
    <x:numFmt numFmtId="203" formatCode="#,##0.00 &quot;TL&quot;"/>
    <x:numFmt numFmtId="204" formatCode="mmmm 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F3F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F3F"/>
      </x:patternFill>
    </x:fill>
    <x:fill>
      <x:patternFill patternType="solid">
        <x:fgColor rgb="FFD4D9D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08c0cfc714449" /><Relationship Type="http://schemas.openxmlformats.org/officeDocument/2006/relationships/theme" Target="/xl/theme/theme1.xml" Id="Rd31140a0509b4f65" /><Relationship Type="http://schemas.openxmlformats.org/officeDocument/2006/relationships/sharedStrings" Target="/xl/sharedStrings.xml" Id="Rb316988d72b1412a" /><Relationship Type="http://schemas.openxmlformats.org/officeDocument/2006/relationships/worksheet" Target="/xl/worksheets/sheet1.xml" Id="R65caf4464cd345af" /><Relationship Type="http://schemas.openxmlformats.org/officeDocument/2006/relationships/worksheet" Target="/xl/worksheets/sheet2.xml" Id="Rb7d294fcda314100" /><Relationship Type="http://schemas.openxmlformats.org/officeDocument/2006/relationships/worksheet" Target="/xl/worksheets/sheet3.xml" Id="Re251869922ae4faa" /><Relationship Type="http://schemas.openxmlformats.org/officeDocument/2006/relationships/worksheet" Target="/xl/worksheets/sheet4.xml" Id="R42afb9bc04804712" /><Relationship Type="http://schemas.openxmlformats.org/officeDocument/2006/relationships/worksheet" Target="/xl/worksheets/sheet5.xml" Id="Rdd7a428d8c22407c" /><Relationship Type="http://schemas.openxmlformats.org/officeDocument/2006/relationships/worksheet" Target="/xl/worksheets/sheet6.xml" Id="Re299ed96348e4e2a" /><Relationship Type="http://schemas.openxmlformats.org/officeDocument/2006/relationships/worksheet" Target="/xl/worksheets/sheet7.xml" Id="R009e06d1312c4b2d" /><Relationship Type="http://schemas.openxmlformats.org/officeDocument/2006/relationships/worksheet" Target="/xl/worksheets/sheet8.xml" Id="R068ed9f919864dc1" /><Relationship Type="http://schemas.openxmlformats.org/officeDocument/2006/relationships/worksheet" Target="/xl/worksheets/sheet9.xml" Id="Ra0b6a35d4ded4e16" /><Relationship Type="http://schemas.openxmlformats.org/officeDocument/2006/relationships/worksheet" Target="/xl/worksheets/sheet10.xml" Id="R77e46e2b2f0f4e33" /><Relationship Type="http://schemas.openxmlformats.org/officeDocument/2006/relationships/worksheet" Target="/xl/worksheets/sheet11.xml" Id="R5fb5a0e35d5e42af" /><Relationship Type="http://schemas.openxmlformats.org/officeDocument/2006/relationships/worksheet" Target="/xl/worksheets/sheet12.xml" Id="R284d7f39765b4f68" /><Relationship Type="http://schemas.openxmlformats.org/officeDocument/2006/relationships/worksheet" Target="/xl/worksheets/sheet13.xml" Id="R0b0b0d6c21ac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Çınar Apartmanı — Sakinler</x:v>
      </x:c>
      <x:c r="B1" s="3"/>
      <x:c r="C1" s="3"/>
      <x:c r="D1" s="3"/>
      <x:c r="E1" s="3"/>
      <x:c r="F1" s="3"/>
    </x:row>
    <x:row r="3">
      <x:c r="A3" s="9" t="str">
        <x:v>Daire No</x:v>
      </x:c>
      <x:c r="B3" s="9" t="str">
        <x:v>Resident Kodu</x:v>
      </x:c>
      <x:c r="C3" s="9" t="str">
        <x:v>Ad Soyad</x:v>
      </x:c>
      <x:c r="D3" s="9" t="str">
        <x:v>Net m²</x:v>
      </x:c>
      <x:c r="E3" s="9" t="str">
        <x:v>Ortak Gider Payı</x:v>
      </x:c>
      <x:c r="F3" s="9" t="str">
        <x:v>Durum</x:v>
      </x:c>
    </x:row>
    <x:row r="4">
      <x:c r="A4" t="n">
        <x:v>1</x:v>
      </x:c>
      <x:c r="B4" t="str">
        <x:v>B001-R001</x:v>
      </x:c>
      <x:c r="C4" t="str">
        <x:v>Ahmet Yılmaz</x:v>
      </x:c>
      <x:c r="D4" s="14" t="n">
        <x:v>72</x:v>
      </x:c>
      <x:c r="E4" s="16" t="n">
        <x:v>0.09411764705882353</x:v>
      </x:c>
      <x:c r="F4" t="str">
        <x:v>Aktif</x:v>
      </x:c>
    </x:row>
    <x:row r="5">
      <x:c r="A5" t="n">
        <x:v>2</x:v>
      </x:c>
      <x:c r="B5" t="str">
        <x:v>B001-R002</x:v>
      </x:c>
      <x:c r="C5" t="str">
        <x:v>Mehmet Kaya</x:v>
      </x:c>
      <x:c r="D5" s="14" t="n">
        <x:v>84</x:v>
      </x:c>
      <x:c r="E5" s="16" t="n">
        <x:v>0.10980392156862745</x:v>
      </x:c>
      <x:c r="F5" t="str">
        <x:v>Aktif</x:v>
      </x:c>
    </x:row>
    <x:row r="6">
      <x:c r="A6" t="n">
        <x:v>3</x:v>
      </x:c>
      <x:c r="B6" t="str">
        <x:v>B001-R003</x:v>
      </x:c>
      <x:c r="C6" t="str">
        <x:v>Ayşe Demir</x:v>
      </x:c>
      <x:c r="D6" s="14" t="n">
        <x:v>96</x:v>
      </x:c>
      <x:c r="E6" s="16" t="n">
        <x:v>0.12549019607843137</x:v>
      </x:c>
      <x:c r="F6" t="str">
        <x:v>Aktif</x:v>
      </x:c>
    </x:row>
    <x:row r="7">
      <x:c r="A7" t="n">
        <x:v>4</x:v>
      </x:c>
      <x:c r="B7" t="str">
        <x:v>B001-R004</x:v>
      </x:c>
      <x:c r="C7" t="str">
        <x:v>Fatma Şahin</x:v>
      </x:c>
      <x:c r="D7" s="14" t="n">
        <x:v>105</x:v>
      </x:c>
      <x:c r="E7" s="16" t="n">
        <x:v>0.13725490196078433</x:v>
      </x:c>
      <x:c r="F7" t="str">
        <x:v>Aktif</x:v>
      </x:c>
    </x:row>
    <x:row r="8">
      <x:c r="A8" t="n">
        <x:v>5</x:v>
      </x:c>
      <x:c r="B8" t="str">
        <x:v>B001-R005</x:v>
      </x:c>
      <x:c r="C8" t="str">
        <x:v>Emre Çelik</x:v>
      </x:c>
      <x:c r="D8" s="14" t="n">
        <x:v>118</x:v>
      </x:c>
      <x:c r="E8" s="16" t="n">
        <x:v>0.1542483660130719</x:v>
      </x:c>
      <x:c r="F8" t="str">
        <x:v>Aktif</x:v>
      </x:c>
    </x:row>
    <x:row r="9">
      <x:c r="A9" t="n">
        <x:v>6</x:v>
      </x:c>
      <x:c r="B9" t="str">
        <x:v>B001-R006</x:v>
      </x:c>
      <x:c r="C9" t="str">
        <x:v>Selin Aydın</x:v>
      </x:c>
      <x:c r="D9" s="14" t="n">
        <x:v>132</x:v>
      </x:c>
      <x:c r="E9" s="16" t="n">
        <x:v>0.17254901960784313</x:v>
      </x:c>
      <x:c r="F9" t="str">
        <x:v>Aktif</x:v>
      </x:c>
    </x:row>
    <x:row r="10">
      <x:c r="A10" t="n">
        <x:v>7</x:v>
      </x:c>
      <x:c r="B10" t="str">
        <x:v>B001-R007</x:v>
      </x:c>
      <x:c r="C10" t="str">
        <x:v>Cem Arslan</x:v>
      </x:c>
      <x:c r="D10" s="14" t="n">
        <x:v>158</x:v>
      </x:c>
      <x:c r="E10" s="16" t="n">
        <x:v>0.2065359477124183</x:v>
      </x:c>
      <x:c r="F10" t="str">
        <x:v>Aktif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3" t="str">
        <x:v>Çınar Apartmanı — Giderler ve Paylar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>
      <x:c r="A3" s="9" t="str">
        <x:v>Tarih</x:v>
      </x:c>
      <x:c r="B3" s="9" t="str">
        <x:v>Gider Ayı</x:v>
      </x:c>
      <x:c r="C3" s="9" t="str">
        <x:v>Kategori</x:v>
      </x:c>
      <x:c r="D3" s="9" t="str">
        <x:v>Açıklama</x:v>
      </x:c>
      <x:c r="E3" s="9" t="str">
        <x:v>Ödeme</x:v>
      </x:c>
      <x:c r="F3" s="9" t="str">
        <x:v>Tutar</x:v>
      </x:c>
      <x:c r="G3" s="9" t="str">
        <x:v>Gider Kodu</x:v>
      </x:c>
      <x:c r="H3" s="9" t="str">
        <x:v>B001-R001</x:v>
      </x:c>
      <x:c r="I3" s="9" t="str">
        <x:v>B001-R002</x:v>
      </x:c>
      <x:c r="J3" s="9" t="str">
        <x:v>B001-R003</x:v>
      </x:c>
      <x:c r="K3" s="9" t="str">
        <x:v>B001-R004</x:v>
      </x:c>
      <x:c r="L3" s="9" t="str">
        <x:v>B001-R005</x:v>
      </x:c>
      <x:c r="M3" s="9" t="str">
        <x:v>B001-R006</x:v>
      </x:c>
      <x:c r="N3" s="9" t="str">
        <x:v>B001-R007</x:v>
      </x:c>
      <x:c r="O3" s="9" t="str">
        <x:v>Pay Toplamı</x:v>
      </x:c>
    </x:row>
    <x:row r="4">
      <x:c r="A4" s="18" t="n">
        <x:v>45996</x:v>
      </x:c>
      <x:c r="B4" s="18" t="n">
        <x:v>45992</x:v>
      </x:c>
      <x:c r="C4" t="str">
        <x:v>Ortak Alan Elektrik</x:v>
      </x:c>
      <x:c r="D4" t="str">
        <x:v>Aralık ortak alan elektrik</x:v>
      </x:c>
      <x:c r="E4" t="str">
        <x:v>Banka</x:v>
      </x:c>
      <x:c r="F4" s="20" t="n">
        <x:v>1550</x:v>
      </x:c>
      <x:c r="G4" s="20" t="str">
        <x:v>B001-G0001</x:v>
      </x:c>
      <x:c r="H4" s="20" t="n">
        <x:f>$F4*Sakinler!$E$4</x:f>
        <x:v>145.88235294117646</x:v>
      </x:c>
      <x:c r="I4" s="20" t="n">
        <x:f>$F4*Sakinler!$E$5</x:f>
        <x:v>170.19607843137254</x:v>
      </x:c>
      <x:c r="J4" s="20" t="n">
        <x:f>$F4*Sakinler!$E$6</x:f>
        <x:v>194.50980392156862</x:v>
      </x:c>
      <x:c r="K4" s="20" t="n">
        <x:f>$F4*Sakinler!$E$7</x:f>
        <x:v>212.7450980392157</x:v>
      </x:c>
      <x:c r="L4" s="20" t="n">
        <x:f>$F4*Sakinler!$E$8</x:f>
        <x:v>239.08496732026146</x:v>
      </x:c>
      <x:c r="M4" s="20" t="n">
        <x:f>$F4*Sakinler!$E$9</x:f>
        <x:v>267.45098039215685</x:v>
      </x:c>
      <x:c r="N4" s="20" t="n">
        <x:f>$F4*Sakinler!$E$10</x:f>
        <x:v>320.1307189542483</x:v>
      </x:c>
      <x:c r="O4" s="20" t="n">
        <x:f>SUM(H4:N4)</x:f>
        <x:v>1550</x:v>
      </x:c>
    </x:row>
    <x:row r="5">
      <x:c r="A5" s="18" t="n">
        <x:v>46000</x:v>
      </x:c>
      <x:c r="B5" s="18" t="n">
        <x:v>45992</x:v>
      </x:c>
      <x:c r="C5" t="str">
        <x:v>Ortak Alan Su</x:v>
      </x:c>
      <x:c r="D5" t="str">
        <x:v>Aralık ortak alan su</x:v>
      </x:c>
      <x:c r="E5" t="str">
        <x:v>Banka</x:v>
      </x:c>
      <x:c r="F5" s="20" t="n">
        <x:v>820</x:v>
      </x:c>
      <x:c r="G5" s="20" t="str">
        <x:v>B001-G0002</x:v>
      </x:c>
      <x:c r="H5" s="20" t="n">
        <x:f>$F5*Sakinler!$E$4</x:f>
        <x:v>77.17647058823529</x:v>
      </x:c>
      <x:c r="I5" s="20" t="n">
        <x:f>$F5*Sakinler!$E$5</x:f>
        <x:v>90.0392156862745</x:v>
      </x:c>
      <x:c r="J5" s="20" t="n">
        <x:f>$F5*Sakinler!$E$6</x:f>
        <x:v>102.90196078431373</x:v>
      </x:c>
      <x:c r="K5" s="20" t="n">
        <x:f>$F5*Sakinler!$E$7</x:f>
        <x:v>112.54901960784315</x:v>
      </x:c>
      <x:c r="L5" s="20" t="n">
        <x:f>$F5*Sakinler!$E$8</x:f>
        <x:v>126.48366013071896</x:v>
      </x:c>
      <x:c r="M5" s="20" t="n">
        <x:f>$F5*Sakinler!$E$9</x:f>
        <x:v>141.49019607843138</x:v>
      </x:c>
      <x:c r="N5" s="20" t="n">
        <x:f>$F5*Sakinler!$E$10</x:f>
        <x:v>169.359477124183</x:v>
      </x:c>
      <x:c r="O5" s="20" t="n">
        <x:f>SUM(H5:N5)</x:f>
        <x:v>820</x:v>
      </x:c>
    </x:row>
    <x:row r="6">
      <x:c r="A6" s="18" t="n">
        <x:v>46003</x:v>
      </x:c>
      <x:c r="B6" s="18" t="n">
        <x:v>45992</x:v>
      </x:c>
      <x:c r="C6" t="str">
        <x:v>Asansör Bakımı</x:v>
      </x:c>
      <x:c r="D6" t="str">
        <x:v>Aylık asansör bakımı</x:v>
      </x:c>
      <x:c r="E6" t="str">
        <x:v>Banka</x:v>
      </x:c>
      <x:c r="F6" s="20" t="n">
        <x:v>2100</x:v>
      </x:c>
      <x:c r="G6" s="20" t="str">
        <x:v>B001-G0003</x:v>
      </x:c>
      <x:c r="H6" s="20" t="n">
        <x:f>$F6*Sakinler!$E$4</x:f>
        <x:v>197.64705882352942</x:v>
      </x:c>
      <x:c r="I6" s="20" t="n">
        <x:f>$F6*Sakinler!$E$5</x:f>
        <x:v>230.58823529411765</x:v>
      </x:c>
      <x:c r="J6" s="20" t="n">
        <x:f>$F6*Sakinler!$E$6</x:f>
        <x:v>263.52941176470586</x:v>
      </x:c>
      <x:c r="K6" s="20" t="n">
        <x:f>$F6*Sakinler!$E$7</x:f>
        <x:v>288.2352941176471</x:v>
      </x:c>
      <x:c r="L6" s="20" t="n">
        <x:f>$F6*Sakinler!$E$8</x:f>
        <x:v>323.921568627451</x:v>
      </x:c>
      <x:c r="M6" s="20" t="n">
        <x:f>$F6*Sakinler!$E$9</x:f>
        <x:v>362.3529411764706</x:v>
      </x:c>
      <x:c r="N6" s="20" t="n">
        <x:f>$F6*Sakinler!$E$10</x:f>
        <x:v>433.7254901960784</x:v>
      </x:c>
      <x:c r="O6" s="20" t="n">
        <x:f>SUM(H6:N6)</x:f>
        <x:v>2100</x:v>
      </x:c>
    </x:row>
    <x:row r="7">
      <x:c r="A7" s="18" t="n">
        <x:v>46007</x:v>
      </x:c>
      <x:c r="B7" s="18" t="n">
        <x:v>45992</x:v>
      </x:c>
      <x:c r="C7" t="str">
        <x:v>Jeneratör Bakımı</x:v>
      </x:c>
      <x:c r="D7" t="str">
        <x:v>Jeneratör periyodik kontrol</x:v>
      </x:c>
      <x:c r="E7" t="str">
        <x:v>Banka</x:v>
      </x:c>
      <x:c r="F7" s="20" t="n">
        <x:v>1800</x:v>
      </x:c>
      <x:c r="G7" s="20" t="str">
        <x:v>B001-G0004</x:v>
      </x:c>
      <x:c r="H7" s="20" t="n">
        <x:f>$F7*Sakinler!$E$4</x:f>
        <x:v>169.41176470588235</x:v>
      </x:c>
      <x:c r="I7" s="20" t="n">
        <x:f>$F7*Sakinler!$E$5</x:f>
        <x:v>197.64705882352942</x:v>
      </x:c>
      <x:c r="J7" s="20" t="n">
        <x:f>$F7*Sakinler!$E$6</x:f>
        <x:v>225.88235294117646</x:v>
      </x:c>
      <x:c r="K7" s="20" t="n">
        <x:f>$F7*Sakinler!$E$7</x:f>
        <x:v>247.0588235294118</x:v>
      </x:c>
      <x:c r="L7" s="20" t="n">
        <x:f>$F7*Sakinler!$E$8</x:f>
        <x:v>277.64705882352945</x:v>
      </x:c>
      <x:c r="M7" s="20" t="n">
        <x:f>$F7*Sakinler!$E$9</x:f>
        <x:v>310.5882352941176</x:v>
      </x:c>
      <x:c r="N7" s="20" t="n">
        <x:f>$F7*Sakinler!$E$10</x:f>
        <x:v>371.7647058823529</x:v>
      </x:c>
      <x:c r="O7" s="20" t="n">
        <x:f>SUM(H7:N7)</x:f>
        <x:v>1800</x:v>
      </x:c>
    </x:row>
    <x:row r="8">
      <x:c r="A8" s="18" t="n">
        <x:v>46011</x:v>
      </x:c>
      <x:c r="B8" s="18" t="n">
        <x:v>45992</x:v>
      </x:c>
      <x:c r="C8" t="str">
        <x:v>Temizlik</x:v>
      </x:c>
      <x:c r="D8" t="str">
        <x:v>Ortak alan temizliği</x:v>
      </x:c>
      <x:c r="E8" t="str">
        <x:v>Nakit</x:v>
      </x:c>
      <x:c r="F8" s="20" t="n">
        <x:v>2800</x:v>
      </x:c>
      <x:c r="G8" s="20" t="str">
        <x:v>B001-G0005</x:v>
      </x:c>
      <x:c r="H8" s="20" t="n">
        <x:f>$F8*Sakinler!$E$4</x:f>
        <x:v>263.52941176470586</x:v>
      </x:c>
      <x:c r="I8" s="20" t="n">
        <x:f>$F8*Sakinler!$E$5</x:f>
        <x:v>307.45098039215685</x:v>
      </x:c>
      <x:c r="J8" s="20" t="n">
        <x:f>$F8*Sakinler!$E$6</x:f>
        <x:v>351.37254901960785</x:v>
      </x:c>
      <x:c r="K8" s="20" t="n">
        <x:f>$F8*Sakinler!$E$7</x:f>
        <x:v>384.31372549019613</x:v>
      </x:c>
      <x:c r="L8" s="20" t="n">
        <x:f>$F8*Sakinler!$E$8</x:f>
        <x:v>431.8954248366013</x:v>
      </x:c>
      <x:c r="M8" s="20" t="n">
        <x:f>$F8*Sakinler!$E$9</x:f>
        <x:v>483.1372549019608</x:v>
      </x:c>
      <x:c r="N8" s="20" t="n">
        <x:f>$F8*Sakinler!$E$10</x:f>
        <x:v>578.3006535947712</x:v>
      </x:c>
      <x:c r="O8" s="20" t="n">
        <x:f>SUM(H8:N8)</x:f>
        <x:v>2800</x:v>
      </x:c>
    </x:row>
    <x:row r="9">
      <x:c r="A9" s="18" t="n">
        <x:v>46013</x:v>
      </x:c>
      <x:c r="B9" s="18" t="n">
        <x:v>45992</x:v>
      </x:c>
      <x:c r="C9" t="str">
        <x:v>Yönetim Hizmeti</x:v>
      </x:c>
      <x:c r="D9" t="str">
        <x:v>Yönetim hizmet bedeli</x:v>
      </x:c>
      <x:c r="E9" t="str">
        <x:v>Banka</x:v>
      </x:c>
      <x:c r="F9" s="20" t="n">
        <x:v>2500</x:v>
      </x:c>
      <x:c r="G9" s="20" t="str">
        <x:v>B001-G0006</x:v>
      </x:c>
      <x:c r="H9" s="20" t="n">
        <x:f>$F9*Sakinler!$E$4</x:f>
        <x:v>235.2941176470588</x:v>
      </x:c>
      <x:c r="I9" s="20" t="n">
        <x:f>$F9*Sakinler!$E$5</x:f>
        <x:v>274.5098039215686</x:v>
      </x:c>
      <x:c r="J9" s="20" t="n">
        <x:f>$F9*Sakinler!$E$6</x:f>
        <x:v>313.72549019607845</x:v>
      </x:c>
      <x:c r="K9" s="20" t="n">
        <x:f>$F9*Sakinler!$E$7</x:f>
        <x:v>343.13725490196083</x:v>
      </x:c>
      <x:c r="L9" s="20" t="n">
        <x:f>$F9*Sakinler!$E$8</x:f>
        <x:v>385.62091503267976</x:v>
      </x:c>
      <x:c r="M9" s="20" t="n">
        <x:f>$F9*Sakinler!$E$9</x:f>
        <x:v>431.37254901960785</x:v>
      </x:c>
      <x:c r="N9" s="20" t="n">
        <x:f>$F9*Sakinler!$E$10</x:f>
        <x:v>516.3398692810457</x:v>
      </x:c>
      <x:c r="O9" s="20" t="n">
        <x:f>SUM(H9:N9)</x:f>
        <x:v>2500</x:v>
      </x:c>
    </x:row>
    <x:row r="10">
      <x:c r="A10" s="18" t="n">
        <x:v>46028</x:v>
      </x:c>
      <x:c r="B10" s="18" t="n">
        <x:v>46023</x:v>
      </x:c>
      <x:c r="C10" t="str">
        <x:v>Ortak Alan Elektrik</x:v>
      </x:c>
      <x:c r="D10" t="str">
        <x:v>Ocak ortak alan elektrik</x:v>
      </x:c>
      <x:c r="E10" t="str">
        <x:v>Banka</x:v>
      </x:c>
      <x:c r="F10" s="20" t="n">
        <x:v>1650</x:v>
      </x:c>
      <x:c r="G10" s="20" t="str">
        <x:v>B001-G0007</x:v>
      </x:c>
      <x:c r="H10" s="20" t="n">
        <x:f>$F10*Sakinler!$E$4</x:f>
        <x:v>155.2941176470588</x:v>
      </x:c>
      <x:c r="I10" s="20" t="n">
        <x:f>$F10*Sakinler!$E$5</x:f>
        <x:v>181.1764705882353</x:v>
      </x:c>
      <x:c r="J10" s="20" t="n">
        <x:f>$F10*Sakinler!$E$6</x:f>
        <x:v>207.05882352941177</x:v>
      </x:c>
      <x:c r="K10" s="20" t="n">
        <x:f>$F10*Sakinler!$E$7</x:f>
        <x:v>226.47058823529414</x:v>
      </x:c>
      <x:c r="L10" s="20" t="n">
        <x:f>$F10*Sakinler!$E$8</x:f>
        <x:v>254.50980392156865</x:v>
      </x:c>
      <x:c r="M10" s="20" t="n">
        <x:f>$F10*Sakinler!$E$9</x:f>
        <x:v>284.70588235294116</x:v>
      </x:c>
      <x:c r="N10" s="20" t="n">
        <x:f>$F10*Sakinler!$E$10</x:f>
        <x:v>340.78431372549016</x:v>
      </x:c>
      <x:c r="O10" s="20" t="n">
        <x:f>SUM(H10:N10)</x:f>
        <x:v>1650</x:v>
      </x:c>
    </x:row>
    <x:row r="11">
      <x:c r="A11" s="18" t="n">
        <x:v>46032</x:v>
      </x:c>
      <x:c r="B11" s="18" t="n">
        <x:v>46023</x:v>
      </x:c>
      <x:c r="C11" t="str">
        <x:v>Ortak Alan Su</x:v>
      </x:c>
      <x:c r="D11" t="str">
        <x:v>Ocak ortak alan su</x:v>
      </x:c>
      <x:c r="E11" t="str">
        <x:v>Banka</x:v>
      </x:c>
      <x:c r="F11" s="20" t="n">
        <x:v>850</x:v>
      </x:c>
      <x:c r="G11" s="20" t="str">
        <x:v>B001-G0008</x:v>
      </x:c>
      <x:c r="H11" s="20" t="n">
        <x:f>$F11*Sakinler!$E$4</x:f>
        <x:v>80</x:v>
      </x:c>
      <x:c r="I11" s="20" t="n">
        <x:f>$F11*Sakinler!$E$5</x:f>
        <x:v>93.33333333333333</x:v>
      </x:c>
      <x:c r="J11" s="20" t="n">
        <x:f>$F11*Sakinler!$E$6</x:f>
        <x:v>106.66666666666667</x:v>
      </x:c>
      <x:c r="K11" s="20" t="n">
        <x:f>$F11*Sakinler!$E$7</x:f>
        <x:v>116.66666666666667</x:v>
      </x:c>
      <x:c r="L11" s="20" t="n">
        <x:f>$F11*Sakinler!$E$8</x:f>
        <x:v>131.11111111111111</x:v>
      </x:c>
      <x:c r="M11" s="20" t="n">
        <x:f>$F11*Sakinler!$E$9</x:f>
        <x:v>146.66666666666666</x:v>
      </x:c>
      <x:c r="N11" s="20" t="n">
        <x:f>$F11*Sakinler!$E$10</x:f>
        <x:v>175.55555555555554</x:v>
      </x:c>
      <x:c r="O11" s="20" t="n">
        <x:f>SUM(H11:N11)</x:f>
        <x:v>850</x:v>
      </x:c>
    </x:row>
    <x:row r="12">
      <x:c r="A12" s="18" t="n">
        <x:v>46037</x:v>
      </x:c>
      <x:c r="B12" s="18" t="n">
        <x:v>46023</x:v>
      </x:c>
      <x:c r="C12" t="str">
        <x:v>Asansör Bakımı</x:v>
      </x:c>
      <x:c r="D12" t="str">
        <x:v>Aylık asansör bakımı</x:v>
      </x:c>
      <x:c r="E12" t="str">
        <x:v>Banka</x:v>
      </x:c>
      <x:c r="F12" s="20" t="n">
        <x:v>2100</x:v>
      </x:c>
      <x:c r="G12" s="20" t="str">
        <x:v>B001-G0009</x:v>
      </x:c>
      <x:c r="H12" s="20" t="n">
        <x:f>$F12*Sakinler!$E$4</x:f>
        <x:v>197.64705882352942</x:v>
      </x:c>
      <x:c r="I12" s="20" t="n">
        <x:f>$F12*Sakinler!$E$5</x:f>
        <x:v>230.58823529411765</x:v>
      </x:c>
      <x:c r="J12" s="20" t="n">
        <x:f>$F12*Sakinler!$E$6</x:f>
        <x:v>263.52941176470586</x:v>
      </x:c>
      <x:c r="K12" s="20" t="n">
        <x:f>$F12*Sakinler!$E$7</x:f>
        <x:v>288.2352941176471</x:v>
      </x:c>
      <x:c r="L12" s="20" t="n">
        <x:f>$F12*Sakinler!$E$8</x:f>
        <x:v>323.921568627451</x:v>
      </x:c>
      <x:c r="M12" s="20" t="n">
        <x:f>$F12*Sakinler!$E$9</x:f>
        <x:v>362.3529411764706</x:v>
      </x:c>
      <x:c r="N12" s="20" t="n">
        <x:f>$F12*Sakinler!$E$10</x:f>
        <x:v>433.7254901960784</x:v>
      </x:c>
      <x:c r="O12" s="20" t="n">
        <x:f>SUM(H12:N12)</x:f>
        <x:v>2100</x:v>
      </x:c>
    </x:row>
    <x:row r="13">
      <x:c r="A13" s="18" t="n">
        <x:v>46040</x:v>
      </x:c>
      <x:c r="B13" s="18" t="n">
        <x:v>46023</x:v>
      </x:c>
      <x:c r="C13" t="str">
        <x:v>Hidrofor Bakımı</x:v>
      </x:c>
      <x:c r="D13" t="str">
        <x:v>Hidrofor bakım ve ayar</x:v>
      </x:c>
      <x:c r="E13" t="str">
        <x:v>Banka</x:v>
      </x:c>
      <x:c r="F13" s="20" t="n">
        <x:v>3200</x:v>
      </x:c>
      <x:c r="G13" s="20" t="str">
        <x:v>B001-G0010</x:v>
      </x:c>
      <x:c r="H13" s="20" t="n">
        <x:f>$F13*Sakinler!$E$4</x:f>
        <x:v>301.1764705882353</x:v>
      </x:c>
      <x:c r="I13" s="20" t="n">
        <x:f>$F13*Sakinler!$E$5</x:f>
        <x:v>351.37254901960785</x:v>
      </x:c>
      <x:c r="J13" s="20" t="n">
        <x:f>$F13*Sakinler!$E$6</x:f>
        <x:v>401.5686274509804</x:v>
      </x:c>
      <x:c r="K13" s="20" t="n">
        <x:f>$F13*Sakinler!$E$7</x:f>
        <x:v>439.21568627450984</x:v>
      </x:c>
      <x:c r="L13" s="20" t="n">
        <x:f>$F13*Sakinler!$E$8</x:f>
        <x:v>493.5947712418301</x:v>
      </x:c>
      <x:c r="M13" s="20" t="n">
        <x:f>$F13*Sakinler!$E$9</x:f>
        <x:v>552.156862745098</x:v>
      </x:c>
      <x:c r="N13" s="20" t="n">
        <x:f>$F13*Sakinler!$E$10</x:f>
        <x:v>660.9150326797385</x:v>
      </x:c>
      <x:c r="O13" s="20" t="n">
        <x:f>SUM(H13:N13)</x:f>
        <x:v>3200</x:v>
      </x:c>
    </x:row>
    <x:row r="14">
      <x:c r="A14" s="18" t="n">
        <x:v>46043</x:v>
      </x:c>
      <x:c r="B14" s="18" t="n">
        <x:v>46023</x:v>
      </x:c>
      <x:c r="C14" t="str">
        <x:v>Temizlik</x:v>
      </x:c>
      <x:c r="D14" t="str">
        <x:v>Ortak alan temizliği</x:v>
      </x:c>
      <x:c r="E14" t="str">
        <x:v>Nakit</x:v>
      </x:c>
      <x:c r="F14" s="20" t="n">
        <x:v>2800</x:v>
      </x:c>
      <x:c r="G14" s="20" t="str">
        <x:v>B001-G0011</x:v>
      </x:c>
      <x:c r="H14" s="20" t="n">
        <x:f>$F14*Sakinler!$E$4</x:f>
        <x:v>263.52941176470586</x:v>
      </x:c>
      <x:c r="I14" s="20" t="n">
        <x:f>$F14*Sakinler!$E$5</x:f>
        <x:v>307.45098039215685</x:v>
      </x:c>
      <x:c r="J14" s="20" t="n">
        <x:f>$F14*Sakinler!$E$6</x:f>
        <x:v>351.37254901960785</x:v>
      </x:c>
      <x:c r="K14" s="20" t="n">
        <x:f>$F14*Sakinler!$E$7</x:f>
        <x:v>384.31372549019613</x:v>
      </x:c>
      <x:c r="L14" s="20" t="n">
        <x:f>$F14*Sakinler!$E$8</x:f>
        <x:v>431.8954248366013</x:v>
      </x:c>
      <x:c r="M14" s="20" t="n">
        <x:f>$F14*Sakinler!$E$9</x:f>
        <x:v>483.1372549019608</x:v>
      </x:c>
      <x:c r="N14" s="20" t="n">
        <x:f>$F14*Sakinler!$E$10</x:f>
        <x:v>578.3006535947712</x:v>
      </x:c>
      <x:c r="O14" s="20" t="n">
        <x:f>SUM(H14:N14)</x:f>
        <x:v>2800</x:v>
      </x:c>
    </x:row>
    <x:row r="15">
      <x:c r="A15" s="18" t="n">
        <x:v>46047</x:v>
      </x:c>
      <x:c r="B15" s="18" t="n">
        <x:v>46023</x:v>
      </x:c>
      <x:c r="C15" t="str">
        <x:v>Yönetim Hizmeti</x:v>
      </x:c>
      <x:c r="D15" t="str">
        <x:v>Yönetim hizmet bedeli</x:v>
      </x:c>
      <x:c r="E15" t="str">
        <x:v>Banka</x:v>
      </x:c>
      <x:c r="F15" s="20" t="n">
        <x:v>2500</x:v>
      </x:c>
      <x:c r="G15" s="20" t="str">
        <x:v>B001-G0012</x:v>
      </x:c>
      <x:c r="H15" s="20" t="n">
        <x:f>$F15*Sakinler!$E$4</x:f>
        <x:v>235.2941176470588</x:v>
      </x:c>
      <x:c r="I15" s="20" t="n">
        <x:f>$F15*Sakinler!$E$5</x:f>
        <x:v>274.5098039215686</x:v>
      </x:c>
      <x:c r="J15" s="20" t="n">
        <x:f>$F15*Sakinler!$E$6</x:f>
        <x:v>313.72549019607845</x:v>
      </x:c>
      <x:c r="K15" s="20" t="n">
        <x:f>$F15*Sakinler!$E$7</x:f>
        <x:v>343.13725490196083</x:v>
      </x:c>
      <x:c r="L15" s="20" t="n">
        <x:f>$F15*Sakinler!$E$8</x:f>
        <x:v>385.62091503267976</x:v>
      </x:c>
      <x:c r="M15" s="20" t="n">
        <x:f>$F15*Sakinler!$E$9</x:f>
        <x:v>431.37254901960785</x:v>
      </x:c>
      <x:c r="N15" s="20" t="n">
        <x:f>$F15*Sakinler!$E$10</x:f>
        <x:v>516.3398692810457</x:v>
      </x:c>
      <x:c r="O15" s="20" t="n">
        <x:f>SUM(H15:N15)</x:f>
        <x:v>2500</x:v>
      </x:c>
    </x:row>
    <x:row r="16">
      <x:c r="A16" s="18" t="n">
        <x:v>46060</x:v>
      </x:c>
      <x:c r="B16" s="18" t="n">
        <x:v>46054</x:v>
      </x:c>
      <x:c r="C16" t="str">
        <x:v>Ortak Alan Elektrik</x:v>
      </x:c>
      <x:c r="D16" t="str">
        <x:v>Şubat ortak alan elektrik</x:v>
      </x:c>
      <x:c r="E16" t="str">
        <x:v>Banka</x:v>
      </x:c>
      <x:c r="F16" s="20" t="n">
        <x:v>1725</x:v>
      </x:c>
      <x:c r="G16" s="20" t="str">
        <x:v>B001-G0013</x:v>
      </x:c>
      <x:c r="H16" s="20" t="n">
        <x:f>$F16*Sakinler!$E$4</x:f>
        <x:v>162.35294117647058</x:v>
      </x:c>
      <x:c r="I16" s="20" t="n">
        <x:f>$F16*Sakinler!$E$5</x:f>
        <x:v>189.41176470588235</x:v>
      </x:c>
      <x:c r="J16" s="20" t="n">
        <x:f>$F16*Sakinler!$E$6</x:f>
        <x:v>216.47058823529412</x:v>
      </x:c>
      <x:c r="K16" s="20" t="n">
        <x:f>$F16*Sakinler!$E$7</x:f>
        <x:v>236.76470588235296</x:v>
      </x:c>
      <x:c r="L16" s="20" t="n">
        <x:f>$F16*Sakinler!$E$8</x:f>
        <x:v>266.078431372549</x:v>
      </x:c>
      <x:c r="M16" s="20" t="n">
        <x:f>$F16*Sakinler!$E$9</x:f>
        <x:v>297.6470588235294</x:v>
      </x:c>
      <x:c r="N16" s="20" t="n">
        <x:f>$F16*Sakinler!$E$10</x:f>
        <x:v>356.27450980392155</x:v>
      </x:c>
      <x:c r="O16" s="20" t="n">
        <x:f>SUM(H16:N16)</x:f>
        <x:v>1724.9999999999998</x:v>
      </x:c>
    </x:row>
    <x:row r="17">
      <x:c r="A17" s="18" t="n">
        <x:v>46064</x:v>
      </x:c>
      <x:c r="B17" s="18" t="n">
        <x:v>46054</x:v>
      </x:c>
      <x:c r="C17" t="str">
        <x:v>Ortak Alan Su</x:v>
      </x:c>
      <x:c r="D17" t="str">
        <x:v>Şubat ortak alan su</x:v>
      </x:c>
      <x:c r="E17" t="str">
        <x:v>Banka</x:v>
      </x:c>
      <x:c r="F17" s="20" t="n">
        <x:v>925</x:v>
      </x:c>
      <x:c r="G17" s="20" t="str">
        <x:v>B001-G0014</x:v>
      </x:c>
      <x:c r="H17" s="20" t="n">
        <x:f>$F17*Sakinler!$E$4</x:f>
        <x:v>87.05882352941177</x:v>
      </x:c>
      <x:c r="I17" s="20" t="n">
        <x:f>$F17*Sakinler!$E$5</x:f>
        <x:v>101.56862745098039</x:v>
      </x:c>
      <x:c r="J17" s="20" t="n">
        <x:f>$F17*Sakinler!$E$6</x:f>
        <x:v>116.07843137254902</x:v>
      </x:c>
      <x:c r="K17" s="20" t="n">
        <x:f>$F17*Sakinler!$E$7</x:f>
        <x:v>126.9607843137255</x:v>
      </x:c>
      <x:c r="L17" s="20" t="n">
        <x:f>$F17*Sakinler!$E$8</x:f>
        <x:v>142.6797385620915</x:v>
      </x:c>
      <x:c r="M17" s="20" t="n">
        <x:f>$F17*Sakinler!$E$9</x:f>
        <x:v>159.6078431372549</x:v>
      </x:c>
      <x:c r="N17" s="20" t="n">
        <x:f>$F17*Sakinler!$E$10</x:f>
        <x:v>191.04575163398692</x:v>
      </x:c>
      <x:c r="O17" s="20" t="n">
        <x:f>SUM(H17:N17)</x:f>
        <x:v>925</x:v>
      </x:c>
    </x:row>
    <x:row r="18">
      <x:c r="A18" s="18" t="n">
        <x:v>46067</x:v>
      </x:c>
      <x:c r="B18" s="18" t="n">
        <x:v>46054</x:v>
      </x:c>
      <x:c r="C18" t="str">
        <x:v>Asansör Bakımı</x:v>
      </x:c>
      <x:c r="D18" t="str">
        <x:v>Aylık asansör bakımı</x:v>
      </x:c>
      <x:c r="E18" t="str">
        <x:v>Banka</x:v>
      </x:c>
      <x:c r="F18" s="20" t="n">
        <x:v>2100</x:v>
      </x:c>
      <x:c r="G18" s="20" t="str">
        <x:v>B001-G0015</x:v>
      </x:c>
      <x:c r="H18" s="20" t="n">
        <x:f>$F18*Sakinler!$E$4</x:f>
        <x:v>197.64705882352942</x:v>
      </x:c>
      <x:c r="I18" s="20" t="n">
        <x:f>$F18*Sakinler!$E$5</x:f>
        <x:v>230.58823529411765</x:v>
      </x:c>
      <x:c r="J18" s="20" t="n">
        <x:f>$F18*Sakinler!$E$6</x:f>
        <x:v>263.52941176470586</x:v>
      </x:c>
      <x:c r="K18" s="20" t="n">
        <x:f>$F18*Sakinler!$E$7</x:f>
        <x:v>288.2352941176471</x:v>
      </x:c>
      <x:c r="L18" s="20" t="n">
        <x:f>$F18*Sakinler!$E$8</x:f>
        <x:v>323.921568627451</x:v>
      </x:c>
      <x:c r="M18" s="20" t="n">
        <x:f>$F18*Sakinler!$E$9</x:f>
        <x:v>362.3529411764706</x:v>
      </x:c>
      <x:c r="N18" s="20" t="n">
        <x:f>$F18*Sakinler!$E$10</x:f>
        <x:v>433.7254901960784</x:v>
      </x:c>
      <x:c r="O18" s="20" t="n">
        <x:f>SUM(H18:N18)</x:f>
        <x:v>2100</x:v>
      </x:c>
    </x:row>
    <x:row r="19">
      <x:c r="A19" s="18" t="n">
        <x:v>46072</x:v>
      </x:c>
      <x:c r="B19" s="18" t="n">
        <x:v>46054</x:v>
      </x:c>
      <x:c r="C19" t="str">
        <x:v>Jeneratör Bakımı</x:v>
      </x:c>
      <x:c r="D19" t="str">
        <x:v>Jeneratör akü ve filtre kontrolü</x:v>
      </x:c>
      <x:c r="E19" t="str">
        <x:v>Banka</x:v>
      </x:c>
      <x:c r="F19" s="20" t="n">
        <x:v>2400</x:v>
      </x:c>
      <x:c r="G19" s="20" t="str">
        <x:v>B001-G0016</x:v>
      </x:c>
      <x:c r="H19" s="20" t="n">
        <x:f>$F19*Sakinler!$E$4</x:f>
        <x:v>225.88235294117646</x:v>
      </x:c>
      <x:c r="I19" s="20" t="n">
        <x:f>$F19*Sakinler!$E$5</x:f>
        <x:v>263.52941176470586</x:v>
      </x:c>
      <x:c r="J19" s="20" t="n">
        <x:f>$F19*Sakinler!$E$6</x:f>
        <x:v>301.1764705882353</x:v>
      </x:c>
      <x:c r="K19" s="20" t="n">
        <x:f>$F19*Sakinler!$E$7</x:f>
        <x:v>329.4117647058824</x:v>
      </x:c>
      <x:c r="L19" s="20" t="n">
        <x:f>$F19*Sakinler!$E$8</x:f>
        <x:v>370.19607843137254</x:v>
      </x:c>
      <x:c r="M19" s="20" t="n">
        <x:f>$F19*Sakinler!$E$9</x:f>
        <x:v>414.11764705882354</x:v>
      </x:c>
      <x:c r="N19" s="20" t="n">
        <x:f>$F19*Sakinler!$E$10</x:f>
        <x:v>495.68627450980387</x:v>
      </x:c>
      <x:c r="O19" s="20" t="n">
        <x:f>SUM(H19:N19)</x:f>
        <x:v>2400</x:v>
      </x:c>
    </x:row>
    <x:row r="20">
      <x:c r="A20" s="18" t="n">
        <x:v>46075</x:v>
      </x:c>
      <x:c r="B20" s="18" t="n">
        <x:v>46054</x:v>
      </x:c>
      <x:c r="C20" t="str">
        <x:v>Yangın Sistemleri</x:v>
      </x:c>
      <x:c r="D20" t="str">
        <x:v>Yangın tüpü kontrol ve dolumu</x:v>
      </x:c>
      <x:c r="E20" t="str">
        <x:v>Banka</x:v>
      </x:c>
      <x:c r="F20" s="20" t="n">
        <x:v>4200</x:v>
      </x:c>
      <x:c r="G20" s="20" t="str">
        <x:v>B001-G0017</x:v>
      </x:c>
      <x:c r="H20" s="20" t="n">
        <x:f>$F20*Sakinler!$E$4</x:f>
        <x:v>395.29411764705884</x:v>
      </x:c>
      <x:c r="I20" s="20" t="n">
        <x:f>$F20*Sakinler!$E$5</x:f>
        <x:v>461.1764705882353</x:v>
      </x:c>
      <x:c r="J20" s="20" t="n">
        <x:f>$F20*Sakinler!$E$6</x:f>
        <x:v>527.0588235294117</x:v>
      </x:c>
      <x:c r="K20" s="20" t="n">
        <x:f>$F20*Sakinler!$E$7</x:f>
        <x:v>576.4705882352941</x:v>
      </x:c>
      <x:c r="L20" s="20" t="n">
        <x:f>$F20*Sakinler!$E$8</x:f>
        <x:v>647.843137254902</x:v>
      </x:c>
      <x:c r="M20" s="20" t="n">
        <x:f>$F20*Sakinler!$E$9</x:f>
        <x:v>724.7058823529412</x:v>
      </x:c>
      <x:c r="N20" s="20" t="n">
        <x:f>$F20*Sakinler!$E$10</x:f>
        <x:v>867.4509803921568</x:v>
      </x:c>
      <x:c r="O20" s="20" t="n">
        <x:f>SUM(H20:N20)</x:f>
        <x:v>4200</x:v>
      </x:c>
    </x:row>
    <x:row r="21">
      <x:c r="A21" s="18" t="n">
        <x:v>46077</x:v>
      </x:c>
      <x:c r="B21" s="18" t="n">
        <x:v>46054</x:v>
      </x:c>
      <x:c r="C21" t="str">
        <x:v>Yönetim Hizmeti</x:v>
      </x:c>
      <x:c r="D21" t="str">
        <x:v>Yönetim hizmet bedeli</x:v>
      </x:c>
      <x:c r="E21" t="str">
        <x:v>Banka</x:v>
      </x:c>
      <x:c r="F21" s="20" t="n">
        <x:v>2500</x:v>
      </x:c>
      <x:c r="G21" s="20" t="str">
        <x:v>B001-G0018</x:v>
      </x:c>
      <x:c r="H21" s="20" t="n">
        <x:f>$F21*Sakinler!$E$4</x:f>
        <x:v>235.2941176470588</x:v>
      </x:c>
      <x:c r="I21" s="20" t="n">
        <x:f>$F21*Sakinler!$E$5</x:f>
        <x:v>274.5098039215686</x:v>
      </x:c>
      <x:c r="J21" s="20" t="n">
        <x:f>$F21*Sakinler!$E$6</x:f>
        <x:v>313.72549019607845</x:v>
      </x:c>
      <x:c r="K21" s="20" t="n">
        <x:f>$F21*Sakinler!$E$7</x:f>
        <x:v>343.13725490196083</x:v>
      </x:c>
      <x:c r="L21" s="20" t="n">
        <x:f>$F21*Sakinler!$E$8</x:f>
        <x:v>385.62091503267976</x:v>
      </x:c>
      <x:c r="M21" s="20" t="n">
        <x:f>$F21*Sakinler!$E$9</x:f>
        <x:v>431.37254901960785</x:v>
      </x:c>
      <x:c r="N21" s="20" t="n">
        <x:f>$F21*Sakinler!$E$10</x:f>
        <x:v>516.3398692810457</x:v>
      </x:c>
      <x:c r="O21" s="20" t="n">
        <x:f>SUM(H21:N21)</x:f>
        <x:v>2500</x:v>
      </x:c>
    </x:row>
    <x:row r="22">
      <x:c r="A22" s="18" t="n">
        <x:v>46087</x:v>
      </x:c>
      <x:c r="B22" s="18" t="n">
        <x:v>46082</x:v>
      </x:c>
      <x:c r="C22" t="str">
        <x:v>Ortak Alan Elektrik</x:v>
      </x:c>
      <x:c r="D22" t="str">
        <x:v>Mart ortak alan elektrik</x:v>
      </x:c>
      <x:c r="E22" t="str">
        <x:v>Banka</x:v>
      </x:c>
      <x:c r="F22" s="20" t="n">
        <x:v>1580</x:v>
      </x:c>
      <x:c r="G22" s="20" t="str">
        <x:v>B001-G0019</x:v>
      </x:c>
      <x:c r="H22" s="20" t="n">
        <x:f>$F22*Sakinler!$E$4</x:f>
        <x:v>148.7058823529412</x:v>
      </x:c>
      <x:c r="I22" s="20" t="n">
        <x:f>$F22*Sakinler!$E$5</x:f>
        <x:v>173.49019607843138</x:v>
      </x:c>
      <x:c r="J22" s="20" t="n">
        <x:f>$F22*Sakinler!$E$6</x:f>
        <x:v>198.27450980392157</x:v>
      </x:c>
      <x:c r="K22" s="20" t="n">
        <x:f>$F22*Sakinler!$E$7</x:f>
        <x:v>216.86274509803923</x:v>
      </x:c>
      <x:c r="L22" s="20" t="n">
        <x:f>$F22*Sakinler!$E$8</x:f>
        <x:v>243.7124183006536</x:v>
      </x:c>
      <x:c r="M22" s="20" t="n">
        <x:f>$F22*Sakinler!$E$9</x:f>
        <x:v>272.62745098039215</x:v>
      </x:c>
      <x:c r="N22" s="20" t="n">
        <x:f>$F22*Sakinler!$E$10</x:f>
        <x:v>326.3267973856209</x:v>
      </x:c>
      <x:c r="O22" s="20" t="n">
        <x:f>SUM(H22:N22)</x:f>
        <x:v>1580</x:v>
      </x:c>
    </x:row>
    <x:row r="23">
      <x:c r="A23" s="18" t="n">
        <x:v>46091</x:v>
      </x:c>
      <x:c r="B23" s="18" t="n">
        <x:v>46082</x:v>
      </x:c>
      <x:c r="C23" t="str">
        <x:v>Ortak Alan Su</x:v>
      </x:c>
      <x:c r="D23" t="str">
        <x:v>Mart ortak alan su</x:v>
      </x:c>
      <x:c r="E23" t="str">
        <x:v>Banka</x:v>
      </x:c>
      <x:c r="F23" s="20" t="n">
        <x:v>890</x:v>
      </x:c>
      <x:c r="G23" s="20" t="str">
        <x:v>B001-G0020</x:v>
      </x:c>
      <x:c r="H23" s="20" t="n">
        <x:f>$F23*Sakinler!$E$4</x:f>
        <x:v>83.76470588235294</x:v>
      </x:c>
      <x:c r="I23" s="20" t="n">
        <x:f>$F23*Sakinler!$E$5</x:f>
        <x:v>97.72549019607843</x:v>
      </x:c>
      <x:c r="J23" s="20" t="n">
        <x:f>$F23*Sakinler!$E$6</x:f>
        <x:v>111.68627450980392</x:v>
      </x:c>
      <x:c r="K23" s="20" t="n">
        <x:f>$F23*Sakinler!$E$7</x:f>
        <x:v>122.15686274509805</x:v>
      </x:c>
      <x:c r="L23" s="20" t="n">
        <x:f>$F23*Sakinler!$E$8</x:f>
        <x:v>137.281045751634</x:v>
      </x:c>
      <x:c r="M23" s="20" t="n">
        <x:f>$F23*Sakinler!$E$9</x:f>
        <x:v>153.5686274509804</x:v>
      </x:c>
      <x:c r="N23" s="20" t="n">
        <x:f>$F23*Sakinler!$E$10</x:f>
        <x:v>183.81699346405227</x:v>
      </x:c>
      <x:c r="O23" s="20" t="n">
        <x:f>SUM(H23:N23)</x:f>
        <x:v>890</x:v>
      </x:c>
    </x:row>
    <x:row r="24">
      <x:c r="A24" s="18" t="n">
        <x:v>46094</x:v>
      </x:c>
      <x:c r="B24" s="18" t="n">
        <x:v>46082</x:v>
      </x:c>
      <x:c r="C24" t="str">
        <x:v>Asansör Bakımı</x:v>
      </x:c>
      <x:c r="D24" t="str">
        <x:v>Aylık asansör bakımı</x:v>
      </x:c>
      <x:c r="E24" t="str">
        <x:v>Banka</x:v>
      </x:c>
      <x:c r="F24" s="20" t="n">
        <x:v>2100</x:v>
      </x:c>
      <x:c r="G24" s="20" t="str">
        <x:v>B001-G0021</x:v>
      </x:c>
      <x:c r="H24" s="20" t="n">
        <x:f>$F24*Sakinler!$E$4</x:f>
        <x:v>197.64705882352942</x:v>
      </x:c>
      <x:c r="I24" s="20" t="n">
        <x:f>$F24*Sakinler!$E$5</x:f>
        <x:v>230.58823529411765</x:v>
      </x:c>
      <x:c r="J24" s="20" t="n">
        <x:f>$F24*Sakinler!$E$6</x:f>
        <x:v>263.52941176470586</x:v>
      </x:c>
      <x:c r="K24" s="20" t="n">
        <x:f>$F24*Sakinler!$E$7</x:f>
        <x:v>288.2352941176471</x:v>
      </x:c>
      <x:c r="L24" s="20" t="n">
        <x:f>$F24*Sakinler!$E$8</x:f>
        <x:v>323.921568627451</x:v>
      </x:c>
      <x:c r="M24" s="20" t="n">
        <x:f>$F24*Sakinler!$E$9</x:f>
        <x:v>362.3529411764706</x:v>
      </x:c>
      <x:c r="N24" s="20" t="n">
        <x:f>$F24*Sakinler!$E$10</x:f>
        <x:v>433.7254901960784</x:v>
      </x:c>
      <x:c r="O24" s="20" t="n">
        <x:f>SUM(H24:N24)</x:f>
        <x:v>2100</x:v>
      </x:c>
    </x:row>
    <x:row r="25">
      <x:c r="A25" s="18" t="n">
        <x:v>46099</x:v>
      </x:c>
      <x:c r="B25" s="18" t="n">
        <x:v>46082</x:v>
      </x:c>
      <x:c r="C25" t="str">
        <x:v>Onarım</x:v>
      </x:c>
      <x:c r="D25" t="str">
        <x:v>Tesisat ustası küçük onarım</x:v>
      </x:c>
      <x:c r="E25" t="str">
        <x:v>Nakit</x:v>
      </x:c>
      <x:c r="F25" s="20" t="n">
        <x:v>3800</x:v>
      </x:c>
      <x:c r="G25" s="20" t="str">
        <x:v>B001-G0022</x:v>
      </x:c>
      <x:c r="H25" s="20" t="n">
        <x:f>$F25*Sakinler!$E$4</x:f>
        <x:v>357.6470588235294</x:v>
      </x:c>
      <x:c r="I25" s="20" t="n">
        <x:f>$F25*Sakinler!$E$5</x:f>
        <x:v>417.2549019607843</x:v>
      </x:c>
      <x:c r="J25" s="20" t="n">
        <x:f>$F25*Sakinler!$E$6</x:f>
        <x:v>476.8627450980392</x:v>
      </x:c>
      <x:c r="K25" s="20" t="n">
        <x:f>$F25*Sakinler!$E$7</x:f>
        <x:v>521.5686274509804</x:v>
      </x:c>
      <x:c r="L25" s="20" t="n">
        <x:f>$F25*Sakinler!$E$8</x:f>
        <x:v>586.1437908496732</x:v>
      </x:c>
      <x:c r="M25" s="20" t="n">
        <x:f>$F25*Sakinler!$E$9</x:f>
        <x:v>655.6862745098039</x:v>
      </x:c>
      <x:c r="N25" s="20" t="n">
        <x:f>$F25*Sakinler!$E$10</x:f>
        <x:v>784.8366013071895</x:v>
      </x:c>
      <x:c r="O25" s="20" t="n">
        <x:f>SUM(H25:N25)</x:f>
        <x:v>3800</x:v>
      </x:c>
    </x:row>
    <x:row r="26">
      <x:c r="A26" s="18" t="n">
        <x:v>46102</x:v>
      </x:c>
      <x:c r="B26" s="18" t="n">
        <x:v>46082</x:v>
      </x:c>
      <x:c r="C26" t="str">
        <x:v>Temizlik</x:v>
      </x:c>
      <x:c r="D26" t="str">
        <x:v>Ortak alan temizliği</x:v>
      </x:c>
      <x:c r="E26" t="str">
        <x:v>Nakit</x:v>
      </x:c>
      <x:c r="F26" s="20" t="n">
        <x:v>3000</x:v>
      </x:c>
      <x:c r="G26" s="20" t="str">
        <x:v>B001-G0023</x:v>
      </x:c>
      <x:c r="H26" s="20" t="n">
        <x:f>$F26*Sakinler!$E$4</x:f>
        <x:v>282.3529411764706</x:v>
      </x:c>
      <x:c r="I26" s="20" t="n">
        <x:f>$F26*Sakinler!$E$5</x:f>
        <x:v>329.4117647058824</x:v>
      </x:c>
      <x:c r="J26" s="20" t="n">
        <x:f>$F26*Sakinler!$E$6</x:f>
        <x:v>376.4705882352941</x:v>
      </x:c>
      <x:c r="K26" s="20" t="n">
        <x:f>$F26*Sakinler!$E$7</x:f>
        <x:v>411.764705882353</x:v>
      </x:c>
      <x:c r="L26" s="20" t="n">
        <x:f>$F26*Sakinler!$E$8</x:f>
        <x:v>462.7450980392157</x:v>
      </x:c>
      <x:c r="M26" s="20" t="n">
        <x:f>$F26*Sakinler!$E$9</x:f>
        <x:v>517.6470588235294</x:v>
      </x:c>
      <x:c r="N26" s="20" t="n">
        <x:f>$F26*Sakinler!$E$10</x:f>
        <x:v>619.6078431372549</x:v>
      </x:c>
      <x:c r="O26" s="20" t="n">
        <x:f>SUM(H26:N26)</x:f>
        <x:v>3000</x:v>
      </x:c>
    </x:row>
    <x:row r="27">
      <x:c r="A27" s="18" t="n">
        <x:v>46106</x:v>
      </x:c>
      <x:c r="B27" s="18" t="n">
        <x:v>46082</x:v>
      </x:c>
      <x:c r="C27" t="str">
        <x:v>Yönetim Hizmeti</x:v>
      </x:c>
      <x:c r="D27" t="str">
        <x:v>Yönetim hizmet bedeli</x:v>
      </x:c>
      <x:c r="E27" t="str">
        <x:v>Banka</x:v>
      </x:c>
      <x:c r="F27" s="20" t="n">
        <x:v>2500</x:v>
      </x:c>
      <x:c r="G27" s="20" t="str">
        <x:v>B001-G0024</x:v>
      </x:c>
      <x:c r="H27" s="20" t="n">
        <x:f>$F27*Sakinler!$E$4</x:f>
        <x:v>235.2941176470588</x:v>
      </x:c>
      <x:c r="I27" s="20" t="n">
        <x:f>$F27*Sakinler!$E$5</x:f>
        <x:v>274.5098039215686</x:v>
      </x:c>
      <x:c r="J27" s="20" t="n">
        <x:f>$F27*Sakinler!$E$6</x:f>
        <x:v>313.72549019607845</x:v>
      </x:c>
      <x:c r="K27" s="20" t="n">
        <x:f>$F27*Sakinler!$E$7</x:f>
        <x:v>343.13725490196083</x:v>
      </x:c>
      <x:c r="L27" s="20" t="n">
        <x:f>$F27*Sakinler!$E$8</x:f>
        <x:v>385.62091503267976</x:v>
      </x:c>
      <x:c r="M27" s="20" t="n">
        <x:f>$F27*Sakinler!$E$9</x:f>
        <x:v>431.37254901960785</x:v>
      </x:c>
      <x:c r="N27" s="20" t="n">
        <x:f>$F27*Sakinler!$E$10</x:f>
        <x:v>516.3398692810457</x:v>
      </x:c>
      <x:c r="O27" s="20" t="n">
        <x:f>SUM(H27:N27)</x:f>
        <x:v>2500</x:v>
      </x:c>
    </x:row>
    <x:row r="28">
      <x:c r="A28" s="18" t="n">
        <x:v>46117</x:v>
      </x:c>
      <x:c r="B28" s="18" t="n">
        <x:v>46113</x:v>
      </x:c>
      <x:c r="C28" t="str">
        <x:v>Ortak Alan Elektrik</x:v>
      </x:c>
      <x:c r="D28" t="str">
        <x:v>Nisan ortak alan elektrik</x:v>
      </x:c>
      <x:c r="E28" t="str">
        <x:v>Banka</x:v>
      </x:c>
      <x:c r="F28" s="20" t="n">
        <x:v>1690</x:v>
      </x:c>
      <x:c r="G28" s="20" t="str">
        <x:v>B001-G0025</x:v>
      </x:c>
      <x:c r="H28" s="20" t="n">
        <x:f>$F28*Sakinler!$E$4</x:f>
        <x:v>159.05882352941177</x:v>
      </x:c>
      <x:c r="I28" s="20" t="n">
        <x:f>$F28*Sakinler!$E$5</x:f>
        <x:v>185.5686274509804</x:v>
      </x:c>
      <x:c r="J28" s="20" t="n">
        <x:f>$F28*Sakinler!$E$6</x:f>
        <x:v>212.078431372549</x:v>
      </x:c>
      <x:c r="K28" s="20" t="n">
        <x:f>$F28*Sakinler!$E$7</x:f>
        <x:v>231.9607843137255</x:v>
      </x:c>
      <x:c r="L28" s="20" t="n">
        <x:f>$F28*Sakinler!$E$8</x:f>
        <x:v>260.67973856209153</x:v>
      </x:c>
      <x:c r="M28" s="20" t="n">
        <x:f>$F28*Sakinler!$E$9</x:f>
        <x:v>291.6078431372549</x:v>
      </x:c>
      <x:c r="N28" s="20" t="n">
        <x:f>$F28*Sakinler!$E$10</x:f>
        <x:v>349.0457516339869</x:v>
      </x:c>
      <x:c r="O28" s="20" t="n">
        <x:f>SUM(H28:N28)</x:f>
        <x:v>1690</x:v>
      </x:c>
    </x:row>
    <x:row r="29">
      <x:c r="A29" s="18" t="n">
        <x:v>46121</x:v>
      </x:c>
      <x:c r="B29" s="18" t="n">
        <x:v>46113</x:v>
      </x:c>
      <x:c r="C29" t="str">
        <x:v>Ortak Alan Su</x:v>
      </x:c>
      <x:c r="D29" t="str">
        <x:v>Nisan ortak alan su</x:v>
      </x:c>
      <x:c r="E29" t="str">
        <x:v>Banka</x:v>
      </x:c>
      <x:c r="F29" s="20" t="n">
        <x:v>910</x:v>
      </x:c>
      <x:c r="G29" s="20" t="str">
        <x:v>B001-G0026</x:v>
      </x:c>
      <x:c r="H29" s="20" t="n">
        <x:f>$F29*Sakinler!$E$4</x:f>
        <x:v>85.6470588235294</x:v>
      </x:c>
      <x:c r="I29" s="20" t="n">
        <x:f>$F29*Sakinler!$E$5</x:f>
        <x:v>99.92156862745098</x:v>
      </x:c>
      <x:c r="J29" s="20" t="n">
        <x:f>$F29*Sakinler!$E$6</x:f>
        <x:v>114.19607843137254</x:v>
      </x:c>
      <x:c r="K29" s="20" t="n">
        <x:f>$F29*Sakinler!$E$7</x:f>
        <x:v>124.90196078431373</x:v>
      </x:c>
      <x:c r="L29" s="20" t="n">
        <x:f>$F29*Sakinler!$E$8</x:f>
        <x:v>140.36601307189542</x:v>
      </x:c>
      <x:c r="M29" s="20" t="n">
        <x:f>$F29*Sakinler!$E$9</x:f>
        <x:v>157.01960784313727</x:v>
      </x:c>
      <x:c r="N29" s="20" t="n">
        <x:f>$F29*Sakinler!$E$10</x:f>
        <x:v>187.94771241830065</x:v>
      </x:c>
      <x:c r="O29" s="20" t="n">
        <x:f>SUM(H29:N29)</x:f>
        <x:v>909.9999999999999</x:v>
      </x:c>
    </x:row>
    <x:row r="30">
      <x:c r="A30" s="18" t="n">
        <x:v>46125</x:v>
      </x:c>
      <x:c r="B30" s="18" t="n">
        <x:v>46113</x:v>
      </x:c>
      <x:c r="C30" t="str">
        <x:v>Asansör Bakımı</x:v>
      </x:c>
      <x:c r="D30" t="str">
        <x:v>Aylık asansör bakımı</x:v>
      </x:c>
      <x:c r="E30" t="str">
        <x:v>Banka</x:v>
      </x:c>
      <x:c r="F30" s="20" t="n">
        <x:v>2200</x:v>
      </x:c>
      <x:c r="G30" s="20" t="str">
        <x:v>B001-G0027</x:v>
      </x:c>
      <x:c r="H30" s="20" t="n">
        <x:f>$F30*Sakinler!$E$4</x:f>
        <x:v>207.05882352941177</x:v>
      </x:c>
      <x:c r="I30" s="20" t="n">
        <x:f>$F30*Sakinler!$E$5</x:f>
        <x:v>241.5686274509804</x:v>
      </x:c>
      <x:c r="J30" s="20" t="n">
        <x:f>$F30*Sakinler!$E$6</x:f>
        <x:v>276.078431372549</x:v>
      </x:c>
      <x:c r="K30" s="20" t="n">
        <x:f>$F30*Sakinler!$E$7</x:f>
        <x:v>301.9607843137255</x:v>
      </x:c>
      <x:c r="L30" s="20" t="n">
        <x:f>$F30*Sakinler!$E$8</x:f>
        <x:v>339.34640522875816</x:v>
      </x:c>
      <x:c r="M30" s="20" t="n">
        <x:f>$F30*Sakinler!$E$9</x:f>
        <x:v>379.6078431372549</x:v>
      </x:c>
      <x:c r="N30" s="20" t="n">
        <x:f>$F30*Sakinler!$E$10</x:f>
        <x:v>454.37908496732024</x:v>
      </x:c>
      <x:c r="O30" s="20" t="n">
        <x:f>SUM(H30:N30)</x:f>
        <x:v>2200</x:v>
      </x:c>
    </x:row>
    <x:row r="31">
      <x:c r="A31" s="18" t="n">
        <x:v>46129</x:v>
      </x:c>
      <x:c r="B31" s="18" t="n">
        <x:v>46113</x:v>
      </x:c>
      <x:c r="C31" t="str">
        <x:v>Hidrofor Bakımı</x:v>
      </x:c>
      <x:c r="D31" t="str">
        <x:v>Hidrofor parça değişimi</x:v>
      </x:c>
      <x:c r="E31" t="str">
        <x:v>Banka</x:v>
      </x:c>
      <x:c r="F31" s="20" t="n">
        <x:v>6200</x:v>
      </x:c>
      <x:c r="G31" s="20" t="str">
        <x:v>B001-G0028</x:v>
      </x:c>
      <x:c r="H31" s="20" t="n">
        <x:f>$F31*Sakinler!$E$4</x:f>
        <x:v>583.5294117647059</x:v>
      </x:c>
      <x:c r="I31" s="20" t="n">
        <x:f>$F31*Sakinler!$E$5</x:f>
        <x:v>680.7843137254902</x:v>
      </x:c>
      <x:c r="J31" s="20" t="n">
        <x:f>$F31*Sakinler!$E$6</x:f>
        <x:v>778.0392156862745</x:v>
      </x:c>
      <x:c r="K31" s="20" t="n">
        <x:f>$F31*Sakinler!$E$7</x:f>
        <x:v>850.9803921568628</x:v>
      </x:c>
      <x:c r="L31" s="20" t="n">
        <x:f>$F31*Sakinler!$E$8</x:f>
        <x:v>956.3398692810458</x:v>
      </x:c>
      <x:c r="M31" s="20" t="n">
        <x:f>$F31*Sakinler!$E$9</x:f>
        <x:v>1069.8039215686274</x:v>
      </x:c>
      <x:c r="N31" s="20" t="n">
        <x:f>$F31*Sakinler!$E$10</x:f>
        <x:v>1280.5228758169933</x:v>
      </x:c>
      <x:c r="O31" s="20" t="n">
        <x:f>SUM(H31:N31)</x:f>
        <x:v>6200</x:v>
      </x:c>
    </x:row>
    <x:row r="32">
      <x:c r="A32" s="18" t="n">
        <x:v>46134</x:v>
      </x:c>
      <x:c r="B32" s="18" t="n">
        <x:v>46113</x:v>
      </x:c>
      <x:c r="C32" t="str">
        <x:v>Bahçe Bakımı</x:v>
      </x:c>
      <x:c r="D32" t="str">
        <x:v>Bahçe düzenleme ve bakım</x:v>
      </x:c>
      <x:c r="E32" t="str">
        <x:v>Nakit</x:v>
      </x:c>
      <x:c r="F32" s="20" t="n">
        <x:v>2600</x:v>
      </x:c>
      <x:c r="G32" s="20" t="str">
        <x:v>B001-G0029</x:v>
      </x:c>
      <x:c r="H32" s="20" t="n">
        <x:f>$F32*Sakinler!$E$4</x:f>
        <x:v>244.70588235294116</x:v>
      </x:c>
      <x:c r="I32" s="20" t="n">
        <x:f>$F32*Sakinler!$E$5</x:f>
        <x:v>285.4901960784314</x:v>
      </x:c>
      <x:c r="J32" s="20" t="n">
        <x:f>$F32*Sakinler!$E$6</x:f>
        <x:v>326.27450980392155</x:v>
      </x:c>
      <x:c r="K32" s="20" t="n">
        <x:f>$F32*Sakinler!$E$7</x:f>
        <x:v>356.8627450980392</x:v>
      </x:c>
      <x:c r="L32" s="20" t="n">
        <x:f>$F32*Sakinler!$E$8</x:f>
        <x:v>401.0457516339869</x:v>
      </x:c>
      <x:c r="M32" s="20" t="n">
        <x:f>$F32*Sakinler!$E$9</x:f>
        <x:v>448.62745098039215</x:v>
      </x:c>
      <x:c r="N32" s="20" t="n">
        <x:f>$F32*Sakinler!$E$10</x:f>
        <x:v>536.9934640522875</x:v>
      </x:c>
      <x:c r="O32" s="20" t="n">
        <x:f>SUM(H32:N32)</x:f>
        <x:v>2600</x:v>
      </x:c>
    </x:row>
    <x:row r="33">
      <x:c r="A33" s="18" t="n">
        <x:v>46137</x:v>
      </x:c>
      <x:c r="B33" s="18" t="n">
        <x:v>46113</x:v>
      </x:c>
      <x:c r="C33" t="str">
        <x:v>Yönetim Hizmeti</x:v>
      </x:c>
      <x:c r="D33" t="str">
        <x:v>Yönetim hizmet bedeli</x:v>
      </x:c>
      <x:c r="E33" t="str">
        <x:v>Banka</x:v>
      </x:c>
      <x:c r="F33" s="20" t="n">
        <x:v>2500</x:v>
      </x:c>
      <x:c r="G33" s="20" t="str">
        <x:v>B001-G0030</x:v>
      </x:c>
      <x:c r="H33" s="20" t="n">
        <x:f>$F33*Sakinler!$E$4</x:f>
        <x:v>235.2941176470588</x:v>
      </x:c>
      <x:c r="I33" s="20" t="n">
        <x:f>$F33*Sakinler!$E$5</x:f>
        <x:v>274.5098039215686</x:v>
      </x:c>
      <x:c r="J33" s="20" t="n">
        <x:f>$F33*Sakinler!$E$6</x:f>
        <x:v>313.72549019607845</x:v>
      </x:c>
      <x:c r="K33" s="20" t="n">
        <x:f>$F33*Sakinler!$E$7</x:f>
        <x:v>343.13725490196083</x:v>
      </x:c>
      <x:c r="L33" s="20" t="n">
        <x:f>$F33*Sakinler!$E$8</x:f>
        <x:v>385.62091503267976</x:v>
      </x:c>
      <x:c r="M33" s="20" t="n">
        <x:f>$F33*Sakinler!$E$9</x:f>
        <x:v>431.37254901960785</x:v>
      </x:c>
      <x:c r="N33" s="20" t="n">
        <x:f>$F33*Sakinler!$E$10</x:f>
        <x:v>516.3398692810457</x:v>
      </x:c>
      <x:c r="O33" s="20" t="n">
        <x:f>SUM(H33:N33)</x:f>
        <x:v>2500</x:v>
      </x:c>
    </x:row>
    <x:row r="34">
      <x:c r="A34" s="18" t="n">
        <x:v>46148</x:v>
      </x:c>
      <x:c r="B34" s="18" t="n">
        <x:v>46143</x:v>
      </x:c>
      <x:c r="C34" t="str">
        <x:v>Ortak Alan Elektrik</x:v>
      </x:c>
      <x:c r="D34" t="str">
        <x:v>Mayıs ortak alan elektrik</x:v>
      </x:c>
      <x:c r="E34" t="str">
        <x:v>Banka</x:v>
      </x:c>
      <x:c r="F34" s="20" t="n">
        <x:v>1810</x:v>
      </x:c>
      <x:c r="G34" s="20" t="str">
        <x:v>B001-G0031</x:v>
      </x:c>
      <x:c r="H34" s="20" t="n">
        <x:f>$F34*Sakinler!$E$4</x:f>
        <x:v>170.35294117647058</x:v>
      </x:c>
      <x:c r="I34" s="20" t="n">
        <x:f>$F34*Sakinler!$E$5</x:f>
        <x:v>198.7450980392157</x:v>
      </x:c>
      <x:c r="J34" s="20" t="n">
        <x:f>$F34*Sakinler!$E$6</x:f>
        <x:v>227.13725490196077</x:v>
      </x:c>
      <x:c r="K34" s="20" t="n">
        <x:f>$F34*Sakinler!$E$7</x:f>
        <x:v>248.43137254901964</x:v>
      </x:c>
      <x:c r="L34" s="20" t="n">
        <x:f>$F34*Sakinler!$E$8</x:f>
        <x:v>279.18954248366015</x:v>
      </x:c>
      <x:c r="M34" s="20" t="n">
        <x:f>$F34*Sakinler!$E$9</x:f>
        <x:v>312.3137254901961</x:v>
      </x:c>
      <x:c r="N34" s="20" t="n">
        <x:f>$F34*Sakinler!$E$10</x:f>
        <x:v>373.8300653594771</x:v>
      </x:c>
      <x:c r="O34" s="20" t="n">
        <x:f>SUM(H34:N34)</x:f>
        <x:v>1810</x:v>
      </x:c>
    </x:row>
    <x:row r="35">
      <x:c r="A35" s="18" t="n">
        <x:v>46152</x:v>
      </x:c>
      <x:c r="B35" s="18" t="n">
        <x:v>46143</x:v>
      </x:c>
      <x:c r="C35" t="str">
        <x:v>Ortak Alan Su</x:v>
      </x:c>
      <x:c r="D35" t="str">
        <x:v>Mayıs ortak alan su</x:v>
      </x:c>
      <x:c r="E35" t="str">
        <x:v>Banka</x:v>
      </x:c>
      <x:c r="F35" s="20" t="n">
        <x:v>980</x:v>
      </x:c>
      <x:c r="G35" s="20" t="str">
        <x:v>B001-G0032</x:v>
      </x:c>
      <x:c r="H35" s="20" t="n">
        <x:f>$F35*Sakinler!$E$4</x:f>
        <x:v>92.23529411764706</x:v>
      </x:c>
      <x:c r="I35" s="20" t="n">
        <x:f>$F35*Sakinler!$E$5</x:f>
        <x:v>107.6078431372549</x:v>
      </x:c>
      <x:c r="J35" s="20" t="n">
        <x:f>$F35*Sakinler!$E$6</x:f>
        <x:v>122.98039215686275</x:v>
      </x:c>
      <x:c r="K35" s="20" t="n">
        <x:f>$F35*Sakinler!$E$7</x:f>
        <x:v>134.50980392156865</x:v>
      </x:c>
      <x:c r="L35" s="20" t="n">
        <x:f>$F35*Sakinler!$E$8</x:f>
        <x:v>151.16339869281046</x:v>
      </x:c>
      <x:c r="M35" s="20" t="n">
        <x:f>$F35*Sakinler!$E$9</x:f>
        <x:v>169.09803921568627</x:v>
      </x:c>
      <x:c r="N35" s="20" t="n">
        <x:f>$F35*Sakinler!$E$10</x:f>
        <x:v>202.40522875816993</x:v>
      </x:c>
      <x:c r="O35" s="20" t="n">
        <x:f>SUM(H35:N35)</x:f>
        <x:v>980</x:v>
      </x:c>
    </x:row>
    <x:row r="36">
      <x:c r="A36" s="18" t="n">
        <x:v>46156</x:v>
      </x:c>
      <x:c r="B36" s="18" t="n">
        <x:v>46143</x:v>
      </x:c>
      <x:c r="C36" t="str">
        <x:v>Asansör Bakımı</x:v>
      </x:c>
      <x:c r="D36" t="str">
        <x:v>Aylık asansör bakımı</x:v>
      </x:c>
      <x:c r="E36" t="str">
        <x:v>Banka</x:v>
      </x:c>
      <x:c r="F36" s="20" t="n">
        <x:v>2200</x:v>
      </x:c>
      <x:c r="G36" s="20" t="str">
        <x:v>B001-G0033</x:v>
      </x:c>
      <x:c r="H36" s="20" t="n">
        <x:f>$F36*Sakinler!$E$4</x:f>
        <x:v>207.05882352941177</x:v>
      </x:c>
      <x:c r="I36" s="20" t="n">
        <x:f>$F36*Sakinler!$E$5</x:f>
        <x:v>241.5686274509804</x:v>
      </x:c>
      <x:c r="J36" s="20" t="n">
        <x:f>$F36*Sakinler!$E$6</x:f>
        <x:v>276.078431372549</x:v>
      </x:c>
      <x:c r="K36" s="20" t="n">
        <x:f>$F36*Sakinler!$E$7</x:f>
        <x:v>301.9607843137255</x:v>
      </x:c>
      <x:c r="L36" s="20" t="n">
        <x:f>$F36*Sakinler!$E$8</x:f>
        <x:v>339.34640522875816</x:v>
      </x:c>
      <x:c r="M36" s="20" t="n">
        <x:f>$F36*Sakinler!$E$9</x:f>
        <x:v>379.6078431372549</x:v>
      </x:c>
      <x:c r="N36" s="20" t="n">
        <x:f>$F36*Sakinler!$E$10</x:f>
        <x:v>454.37908496732024</x:v>
      </x:c>
      <x:c r="O36" s="20" t="n">
        <x:f>SUM(H36:N36)</x:f>
        <x:v>2200</x:v>
      </x:c>
    </x:row>
    <x:row r="37">
      <x:c r="A37" s="18" t="n">
        <x:v>46160</x:v>
      </x:c>
      <x:c r="B37" s="18" t="n">
        <x:v>46143</x:v>
      </x:c>
      <x:c r="C37" t="str">
        <x:v>Jeneratör Bakımı</x:v>
      </x:c>
      <x:c r="D37" t="str">
        <x:v>Jeneratör yağ ve filtre bakımı</x:v>
      </x:c>
      <x:c r="E37" t="str">
        <x:v>Banka</x:v>
      </x:c>
      <x:c r="F37" s="20" t="n">
        <x:v>3600</x:v>
      </x:c>
      <x:c r="G37" s="20" t="str">
        <x:v>B001-G0034</x:v>
      </x:c>
      <x:c r="H37" s="20" t="n">
        <x:f>$F37*Sakinler!$E$4</x:f>
        <x:v>338.8235294117647</x:v>
      </x:c>
      <x:c r="I37" s="20" t="n">
        <x:f>$F37*Sakinler!$E$5</x:f>
        <x:v>395.29411764705884</x:v>
      </x:c>
      <x:c r="J37" s="20" t="n">
        <x:f>$F37*Sakinler!$E$6</x:f>
        <x:v>451.7647058823529</x:v>
      </x:c>
      <x:c r="K37" s="20" t="n">
        <x:f>$F37*Sakinler!$E$7</x:f>
        <x:v>494.1176470588236</x:v>
      </x:c>
      <x:c r="L37" s="20" t="n">
        <x:f>$F37*Sakinler!$E$8</x:f>
        <x:v>555.2941176470589</x:v>
      </x:c>
      <x:c r="M37" s="20" t="n">
        <x:f>$F37*Sakinler!$E$9</x:f>
        <x:v>621.1764705882352</x:v>
      </x:c>
      <x:c r="N37" s="20" t="n">
        <x:f>$F37*Sakinler!$E$10</x:f>
        <x:v>743.5294117647059</x:v>
      </x:c>
      <x:c r="O37" s="20" t="n">
        <x:f>SUM(H37:N37)</x:f>
        <x:v>3600</x:v>
      </x:c>
    </x:row>
    <x:row r="38">
      <x:c r="A38" s="18" t="n">
        <x:v>46163</x:v>
      </x:c>
      <x:c r="B38" s="18" t="n">
        <x:v>46143</x:v>
      </x:c>
      <x:c r="C38" t="str">
        <x:v>Temizlik</x:v>
      </x:c>
      <x:c r="D38" t="str">
        <x:v>Ortak alan temizliği</x:v>
      </x:c>
      <x:c r="E38" t="str">
        <x:v>Nakit</x:v>
      </x:c>
      <x:c r="F38" s="20" t="n">
        <x:v>3000</x:v>
      </x:c>
      <x:c r="G38" s="20" t="str">
        <x:v>B001-G0035</x:v>
      </x:c>
      <x:c r="H38" s="20" t="n">
        <x:f>$F38*Sakinler!$E$4</x:f>
        <x:v>282.3529411764706</x:v>
      </x:c>
      <x:c r="I38" s="20" t="n">
        <x:f>$F38*Sakinler!$E$5</x:f>
        <x:v>329.4117647058824</x:v>
      </x:c>
      <x:c r="J38" s="20" t="n">
        <x:f>$F38*Sakinler!$E$6</x:f>
        <x:v>376.4705882352941</x:v>
      </x:c>
      <x:c r="K38" s="20" t="n">
        <x:f>$F38*Sakinler!$E$7</x:f>
        <x:v>411.764705882353</x:v>
      </x:c>
      <x:c r="L38" s="20" t="n">
        <x:f>$F38*Sakinler!$E$8</x:f>
        <x:v>462.7450980392157</x:v>
      </x:c>
      <x:c r="M38" s="20" t="n">
        <x:f>$F38*Sakinler!$E$9</x:f>
        <x:v>517.6470588235294</x:v>
      </x:c>
      <x:c r="N38" s="20" t="n">
        <x:f>$F38*Sakinler!$E$10</x:f>
        <x:v>619.6078431372549</x:v>
      </x:c>
      <x:c r="O38" s="20" t="n">
        <x:f>SUM(H38:N38)</x:f>
        <x:v>3000</x:v>
      </x:c>
    </x:row>
    <x:row r="39">
      <x:c r="A39" s="18" t="n">
        <x:v>46167</x:v>
      </x:c>
      <x:c r="B39" s="18" t="n">
        <x:v>46143</x:v>
      </x:c>
      <x:c r="C39" t="str">
        <x:v>Yönetim Hizmeti</x:v>
      </x:c>
      <x:c r="D39" t="str">
        <x:v>Yönetim hizmet bedeli</x:v>
      </x:c>
      <x:c r="E39" t="str">
        <x:v>Banka</x:v>
      </x:c>
      <x:c r="F39" s="20" t="n">
        <x:v>2500</x:v>
      </x:c>
      <x:c r="G39" s="20" t="str">
        <x:v>B001-G0036</x:v>
      </x:c>
      <x:c r="H39" s="20" t="n">
        <x:f>$F39*Sakinler!$E$4</x:f>
        <x:v>235.2941176470588</x:v>
      </x:c>
      <x:c r="I39" s="20" t="n">
        <x:f>$F39*Sakinler!$E$5</x:f>
        <x:v>274.5098039215686</x:v>
      </x:c>
      <x:c r="J39" s="20" t="n">
        <x:f>$F39*Sakinler!$E$6</x:f>
        <x:v>313.72549019607845</x:v>
      </x:c>
      <x:c r="K39" s="20" t="n">
        <x:f>$F39*Sakinler!$E$7</x:f>
        <x:v>343.13725490196083</x:v>
      </x:c>
      <x:c r="L39" s="20" t="n">
        <x:f>$F39*Sakinler!$E$8</x:f>
        <x:v>385.62091503267976</x:v>
      </x:c>
      <x:c r="M39" s="20" t="n">
        <x:f>$F39*Sakinler!$E$9</x:f>
        <x:v>431.37254901960785</x:v>
      </x:c>
      <x:c r="N39" s="20" t="n">
        <x:f>$F39*Sakinler!$E$10</x:f>
        <x:v>516.3398692810457</x:v>
      </x:c>
      <x:c r="O39" s="20" t="n">
        <x:f>SUM(H39:N39)</x:f>
        <x:v>2500</x:v>
      </x:c>
    </x:row>
    <x:row r="40">
      <x:c r="A40" s="18" t="n">
        <x:v>46179</x:v>
      </x:c>
      <x:c r="B40" s="18" t="n">
        <x:v>46174</x:v>
      </x:c>
      <x:c r="C40" t="str">
        <x:v>Ortak Alan Elektrik</x:v>
      </x:c>
      <x:c r="D40" t="str">
        <x:v>Haziran ortak alan elektrik</x:v>
      </x:c>
      <x:c r="E40" t="str">
        <x:v>Banka</x:v>
      </x:c>
      <x:c r="F40" s="20" t="n">
        <x:v>1940</x:v>
      </x:c>
      <x:c r="G40" s="20" t="str">
        <x:v>B001-G0037</x:v>
      </x:c>
      <x:c r="H40" s="20" t="n">
        <x:f>$F40*Sakinler!$E$4</x:f>
        <x:v>182.58823529411765</x:v>
      </x:c>
      <x:c r="I40" s="20" t="n">
        <x:f>$F40*Sakinler!$E$5</x:f>
        <x:v>213.01960784313727</x:v>
      </x:c>
      <x:c r="J40" s="20" t="n">
        <x:f>$F40*Sakinler!$E$6</x:f>
        <x:v>243.45098039215685</x:v>
      </x:c>
      <x:c r="K40" s="20" t="n">
        <x:f>$F40*Sakinler!$E$7</x:f>
        <x:v>266.2745098039216</x:v>
      </x:c>
      <x:c r="L40" s="20" t="n">
        <x:f>$F40*Sakinler!$E$8</x:f>
        <x:v>299.24183006535947</x:v>
      </x:c>
      <x:c r="M40" s="20" t="n">
        <x:f>$F40*Sakinler!$E$9</x:f>
        <x:v>334.7450980392157</x:v>
      </x:c>
      <x:c r="N40" s="20" t="n">
        <x:f>$F40*Sakinler!$E$10</x:f>
        <x:v>400.6797385620915</x:v>
      </x:c>
      <x:c r="O40" s="20" t="n">
        <x:f>SUM(H40:N40)</x:f>
        <x:v>1939.9999999999998</x:v>
      </x:c>
    </x:row>
    <x:row r="41">
      <x:c r="A41" s="18" t="n">
        <x:v>46183</x:v>
      </x:c>
      <x:c r="B41" s="18" t="n">
        <x:v>46174</x:v>
      </x:c>
      <x:c r="C41" t="str">
        <x:v>Ortak Alan Su</x:v>
      </x:c>
      <x:c r="D41" t="str">
        <x:v>Haziran ortak alan su</x:v>
      </x:c>
      <x:c r="E41" t="str">
        <x:v>Banka</x:v>
      </x:c>
      <x:c r="F41" s="20" t="n">
        <x:v>1020</x:v>
      </x:c>
      <x:c r="G41" s="20" t="str">
        <x:v>B001-G0038</x:v>
      </x:c>
      <x:c r="H41" s="20" t="n">
        <x:f>$F41*Sakinler!$E$4</x:f>
        <x:v>96</x:v>
      </x:c>
      <x:c r="I41" s="20" t="n">
        <x:f>$F41*Sakinler!$E$5</x:f>
        <x:v>112</x:v>
      </x:c>
      <x:c r="J41" s="20" t="n">
        <x:f>$F41*Sakinler!$E$6</x:f>
        <x:v>128</x:v>
      </x:c>
      <x:c r="K41" s="20" t="n">
        <x:f>$F41*Sakinler!$E$7</x:f>
        <x:v>140</x:v>
      </x:c>
      <x:c r="L41" s="20" t="n">
        <x:f>$F41*Sakinler!$E$8</x:f>
        <x:v>157.33333333333334</x:v>
      </x:c>
      <x:c r="M41" s="20" t="n">
        <x:f>$F41*Sakinler!$E$9</x:f>
        <x:v>176</x:v>
      </x:c>
      <x:c r="N41" s="20" t="n">
        <x:f>$F41*Sakinler!$E$10</x:f>
        <x:v>210.66666666666666</x:v>
      </x:c>
      <x:c r="O41" s="20" t="n">
        <x:f>SUM(H41:N41)</x:f>
        <x:v>1020</x:v>
      </x:c>
    </x:row>
    <x:row r="42">
      <x:c r="A42" s="18" t="n">
        <x:v>46187</x:v>
      </x:c>
      <x:c r="B42" s="18" t="n">
        <x:v>46174</x:v>
      </x:c>
      <x:c r="C42" t="str">
        <x:v>Asansör Bakımı</x:v>
      </x:c>
      <x:c r="D42" t="str">
        <x:v>Aylık asansör bakımı</x:v>
      </x:c>
      <x:c r="E42" t="str">
        <x:v>Banka</x:v>
      </x:c>
      <x:c r="F42" s="20" t="n">
        <x:v>2200</x:v>
      </x:c>
      <x:c r="G42" s="20" t="str">
        <x:v>B001-G0039</x:v>
      </x:c>
      <x:c r="H42" s="20" t="n">
        <x:f>$F42*Sakinler!$E$4</x:f>
        <x:v>207.05882352941177</x:v>
      </x:c>
      <x:c r="I42" s="20" t="n">
        <x:f>$F42*Sakinler!$E$5</x:f>
        <x:v>241.5686274509804</x:v>
      </x:c>
      <x:c r="J42" s="20" t="n">
        <x:f>$F42*Sakinler!$E$6</x:f>
        <x:v>276.078431372549</x:v>
      </x:c>
      <x:c r="K42" s="20" t="n">
        <x:f>$F42*Sakinler!$E$7</x:f>
        <x:v>301.9607843137255</x:v>
      </x:c>
      <x:c r="L42" s="20" t="n">
        <x:f>$F42*Sakinler!$E$8</x:f>
        <x:v>339.34640522875816</x:v>
      </x:c>
      <x:c r="M42" s="20" t="n">
        <x:f>$F42*Sakinler!$E$9</x:f>
        <x:v>379.6078431372549</x:v>
      </x:c>
      <x:c r="N42" s="20" t="n">
        <x:f>$F42*Sakinler!$E$10</x:f>
        <x:v>454.37908496732024</x:v>
      </x:c>
      <x:c r="O42" s="20" t="n">
        <x:f>SUM(H42:N42)</x:f>
        <x:v>2200</x:v>
      </x:c>
    </x:row>
    <x:row r="43">
      <x:c r="A43" s="18" t="n">
        <x:v>46191</x:v>
      </x:c>
      <x:c r="B43" s="18" t="n">
        <x:v>46174</x:v>
      </x:c>
      <x:c r="C43" t="str">
        <x:v>Çatı Bakımı</x:v>
      </x:c>
      <x:c r="D43" t="str">
        <x:v>Çatı bakım ve lokal yalıtım</x:v>
      </x:c>
      <x:c r="E43" t="str">
        <x:v>Nakit</x:v>
      </x:c>
      <x:c r="F43" s="20" t="n">
        <x:v>17500</x:v>
      </x:c>
      <x:c r="G43" s="20" t="str">
        <x:v>B001-G0040</x:v>
      </x:c>
      <x:c r="H43" s="20" t="n">
        <x:f>$F43*Sakinler!$E$4</x:f>
        <x:v>1647.0588235294117</x:v>
      </x:c>
      <x:c r="I43" s="20" t="n">
        <x:f>$F43*Sakinler!$E$5</x:f>
        <x:v>1921.5686274509803</x:v>
      </x:c>
      <x:c r="J43" s="20" t="n">
        <x:f>$F43*Sakinler!$E$6</x:f>
        <x:v>2196.078431372549</x:v>
      </x:c>
      <x:c r="K43" s="20" t="n">
        <x:f>$F43*Sakinler!$E$7</x:f>
        <x:v>2401.9607843137255</x:v>
      </x:c>
      <x:c r="L43" s="20" t="n">
        <x:f>$F43*Sakinler!$E$8</x:f>
        <x:v>2699.346405228758</x:v>
      </x:c>
      <x:c r="M43" s="20" t="n">
        <x:f>$F43*Sakinler!$E$9</x:f>
        <x:v>3019.607843137255</x:v>
      </x:c>
      <x:c r="N43" s="20" t="n">
        <x:f>$F43*Sakinler!$E$10</x:f>
        <x:v>3614.37908496732</x:v>
      </x:c>
      <x:c r="O43" s="20" t="n">
        <x:f>SUM(H43:N43)</x:f>
        <x:v>17500</x:v>
      </x:c>
    </x:row>
    <x:row r="44">
      <x:c r="A44" s="18" t="n">
        <x:v>46195</x:v>
      </x:c>
      <x:c r="B44" s="18" t="n">
        <x:v>46174</x:v>
      </x:c>
      <x:c r="C44" t="str">
        <x:v>Temizlik</x:v>
      </x:c>
      <x:c r="D44" t="str">
        <x:v>Ortak alan temizliği</x:v>
      </x:c>
      <x:c r="E44" t="str">
        <x:v>Nakit</x:v>
      </x:c>
      <x:c r="F44" s="20" t="n">
        <x:v>3200</x:v>
      </x:c>
      <x:c r="G44" s="20" t="str">
        <x:v>B001-G0041</x:v>
      </x:c>
      <x:c r="H44" s="20" t="n">
        <x:f>$F44*Sakinler!$E$4</x:f>
        <x:v>301.1764705882353</x:v>
      </x:c>
      <x:c r="I44" s="20" t="n">
        <x:f>$F44*Sakinler!$E$5</x:f>
        <x:v>351.37254901960785</x:v>
      </x:c>
      <x:c r="J44" s="20" t="n">
        <x:f>$F44*Sakinler!$E$6</x:f>
        <x:v>401.5686274509804</x:v>
      </x:c>
      <x:c r="K44" s="20" t="n">
        <x:f>$F44*Sakinler!$E$7</x:f>
        <x:v>439.21568627450984</x:v>
      </x:c>
      <x:c r="L44" s="20" t="n">
        <x:f>$F44*Sakinler!$E$8</x:f>
        <x:v>493.5947712418301</x:v>
      </x:c>
      <x:c r="M44" s="20" t="n">
        <x:f>$F44*Sakinler!$E$9</x:f>
        <x:v>552.156862745098</x:v>
      </x:c>
      <x:c r="N44" s="20" t="n">
        <x:f>$F44*Sakinler!$E$10</x:f>
        <x:v>660.9150326797385</x:v>
      </x:c>
      <x:c r="O44" s="20" t="n">
        <x:f>SUM(H44:N44)</x:f>
        <x:v>3200</x:v>
      </x:c>
    </x:row>
    <x:row r="45">
      <x:c r="A45" s="18" t="n">
        <x:v>46198</x:v>
      </x:c>
      <x:c r="B45" s="18" t="n">
        <x:v>46174</x:v>
      </x:c>
      <x:c r="C45" t="str">
        <x:v>Yönetim Hizmeti</x:v>
      </x:c>
      <x:c r="D45" t="str">
        <x:v>Yönetim hizmet bedeli</x:v>
      </x:c>
      <x:c r="E45" t="str">
        <x:v>Banka</x:v>
      </x:c>
      <x:c r="F45" s="20" t="n">
        <x:v>2500</x:v>
      </x:c>
      <x:c r="G45" s="20" t="str">
        <x:v>B001-G0042</x:v>
      </x:c>
      <x:c r="H45" s="20" t="n">
        <x:f>$F45*Sakinler!$E$4</x:f>
        <x:v>235.2941176470588</x:v>
      </x:c>
      <x:c r="I45" s="20" t="n">
        <x:f>$F45*Sakinler!$E$5</x:f>
        <x:v>274.5098039215686</x:v>
      </x:c>
      <x:c r="J45" s="20" t="n">
        <x:f>$F45*Sakinler!$E$6</x:f>
        <x:v>313.72549019607845</x:v>
      </x:c>
      <x:c r="K45" s="20" t="n">
        <x:f>$F45*Sakinler!$E$7</x:f>
        <x:v>343.13725490196083</x:v>
      </x:c>
      <x:c r="L45" s="20" t="n">
        <x:f>$F45*Sakinler!$E$8</x:f>
        <x:v>385.62091503267976</x:v>
      </x:c>
      <x:c r="M45" s="20" t="n">
        <x:f>$F45*Sakinler!$E$9</x:f>
        <x:v>431.37254901960785</x:v>
      </x:c>
      <x:c r="N45" s="20" t="n">
        <x:f>$F45*Sakinler!$E$10</x:f>
        <x:v>516.3398692810457</x:v>
      </x:c>
      <x:c r="O45" s="20" t="n">
        <x:f>SUM(H45:N45)</x:f>
        <x:v>2500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3" t="str">
        <x:v>Çınar Apartmanı — Değişken Aidat Ekstresi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W1" s="9" t="str">
        <x:v>Özet</x:v>
      </x:c>
      <x:c r="X1" s="9" t="str">
        <x:v>Tutar</x:v>
      </x:c>
    </x:row>
    <x:row r="2">
      <x:c r="L2" t="n">
        <x:f>X2</x:f>
        <x:v>110939.99999999999</x:v>
      </x:c>
      <x:c r="W2" t="str">
        <x:v>Toplam Tahakkuk</x:v>
      </x:c>
      <x:c r="X2" s="20" t="n">
        <x:f>SUM(Q4:Q52)</x:f>
        <x:v>110939.99999999999</x:v>
      </x:c>
    </x:row>
    <x:row r="3">
      <x:c r="A3" s="9" t="str">
        <x:v>Aidat Ayı</x:v>
      </x:c>
      <x:c r="B3" s="9" t="str">
        <x:v>Baz Gider Ayı</x:v>
      </x:c>
      <x:c r="C3" s="9" t="str">
        <x:v>Resident Kodu</x:v>
      </x:c>
      <x:c r="D3" s="9" t="str">
        <x:v>Daire</x:v>
      </x:c>
      <x:c r="E3" s="9" t="str">
        <x:v>Ad Soyad</x:v>
      </x:c>
      <x:c r="F3" s="9" t="str">
        <x:v>Ortak Alan Elektrik</x:v>
      </x:c>
      <x:c r="G3" s="9" t="str">
        <x:v>Ortak Alan Su</x:v>
      </x:c>
      <x:c r="H3" s="9" t="str">
        <x:v>Asansör Bakımı</x:v>
      </x:c>
      <x:c r="I3" s="9" t="str">
        <x:v>Jeneratör Bakımı</x:v>
      </x:c>
      <x:c r="J3" s="9" t="str">
        <x:v>Hidrofor Bakımı</x:v>
      </x:c>
      <x:c r="K3" s="9" t="str">
        <x:v>Yangın Sistemleri</x:v>
      </x:c>
      <x:c r="L3" s="9" t="n">
        <x:f>X3</x:f>
        <x:v>101644.71</x:v>
      </x:c>
      <x:c r="M3" s="9" t="str">
        <x:v>Bahçe Bakımı</x:v>
      </x:c>
      <x:c r="N3" s="9" t="str">
        <x:v>Onarım</x:v>
      </x:c>
      <x:c r="O3" s="9" t="str">
        <x:v>Çatı Bakımı</x:v>
      </x:c>
      <x:c r="P3" s="9" t="str">
        <x:v>Yönetim Hizmeti</x:v>
      </x:c>
      <x:c r="Q3" s="9" t="str">
        <x:v>Toplam Aidat</x:v>
      </x:c>
      <x:c r="R3" s="9" t="str">
        <x:v>Ödenen</x:v>
      </x:c>
      <x:c r="S3" s="9" t="str">
        <x:v>Ödeme Tarihi</x:v>
      </x:c>
      <x:c r="T3" s="9" t="str">
        <x:v>Kalan Borç</x:v>
      </x:c>
      <x:c r="U3" s="9" t="str">
        <x:v>Durum</x:v>
      </x:c>
      <x:c r="W3" t="str">
        <x:v>Toplam Ödeme</x:v>
      </x:c>
      <x:c r="X3" s="20" t="n">
        <x:f>SUM(R4:R52)</x:f>
        <x:v>101644.71</x:v>
      </x:c>
    </x:row>
    <x:row r="4">
      <x:c r="A4" s="22" t="n">
        <x:v>46023</x:v>
      </x:c>
      <x:c r="B4" s="22" t="n">
        <x:v>45992</x:v>
      </x:c>
      <x:c r="C4" t="str">
        <x:v>B001-R001</x:v>
      </x:c>
      <x:c r="D4" t="n">
        <x:v>1</x:v>
      </x:c>
      <x:c r="E4" t="str">
        <x:v>Ahmet Yılmaz</x:v>
      </x:c>
      <x:c r="F4" s="20" t="n">
        <x:v>145.88235294117646</x:v>
      </x:c>
      <x:c r="G4" s="20" t="n">
        <x:v>77.17647058823529</x:v>
      </x:c>
      <x:c r="H4" s="20" t="n">
        <x:v>197.64705882352942</x:v>
      </x:c>
      <x:c r="I4" s="20" t="n">
        <x:v>169.41176470588235</x:v>
      </x:c>
      <x:c r="J4" s="20" t="n">
        <x:v>0</x:v>
      </x:c>
      <x:c r="K4" s="20" t="n">
        <x:v>0</x:v>
      </x:c>
      <x:c r="L4" s="20" t="n">
        <x:f>X4</x:f>
        <x:v>9295.25</x:v>
      </x:c>
      <x:c r="M4" s="20" t="n">
        <x:v>0</x:v>
      </x:c>
      <x:c r="N4" s="20" t="n">
        <x:v>0</x:v>
      </x:c>
      <x:c r="O4" s="20" t="n">
        <x:v>0</x:v>
      </x:c>
      <x:c r="P4" s="20" t="n">
        <x:v>235.2941176470588</x:v>
      </x:c>
      <x:c r="Q4" s="20" t="n">
        <x:v>1088.9411764705883</x:v>
      </x:c>
      <x:c r="R4" s="20" t="n">
        <x:v>1088.94</x:v>
      </x:c>
      <x:c r="S4" s="18" t="n">
        <x:v>46027</x:v>
      </x:c>
      <x:c r="T4" s="20" t="n">
        <x:v>0</x:v>
      </x:c>
      <x:c r="U4" t="str">
        <x:v>Ödendi</x:v>
      </x:c>
      <x:c r="W4" t="str">
        <x:v>Toplam Kalan</x:v>
      </x:c>
      <x:c r="X4" s="20" t="n">
        <x:f>SUM(T4:T52)</x:f>
        <x:v>9295.25</x:v>
      </x:c>
    </x:row>
    <x:row r="5">
      <x:c r="A5" s="22" t="n">
        <x:v>46054</x:v>
      </x:c>
      <x:c r="B5" s="22" t="n">
        <x:v>46023</x:v>
      </x:c>
      <x:c r="C5" t="str">
        <x:v>B001-R001</x:v>
      </x:c>
      <x:c r="D5" t="n">
        <x:v>1</x:v>
      </x:c>
      <x:c r="E5" t="str">
        <x:v>Ahmet Yılmaz</x:v>
      </x:c>
      <x:c r="F5" s="20" t="n">
        <x:v>155.2941176470588</x:v>
      </x:c>
      <x:c r="G5" s="20" t="n">
        <x:v>80</x:v>
      </x:c>
      <x:c r="H5" s="20" t="n">
        <x:v>197.64705882352942</x:v>
      </x:c>
      <x:c r="I5" s="20" t="n">
        <x:v>0</x:v>
      </x:c>
      <x:c r="J5" s="20" t="n">
        <x:v>301.1764705882353</x:v>
      </x:c>
      <x:c r="K5" s="20" t="n">
        <x:v>0</x:v>
      </x:c>
      <x:c r="L5" s="20" t="n">
        <x:v>263.52941176470586</x:v>
      </x:c>
      <x:c r="M5" s="20" t="n">
        <x:v>0</x:v>
      </x:c>
      <x:c r="N5" s="20" t="n">
        <x:v>0</x:v>
      </x:c>
      <x:c r="O5" s="20" t="n">
        <x:v>0</x:v>
      </x:c>
      <x:c r="P5" s="20" t="n">
        <x:v>235.2941176470588</x:v>
      </x:c>
      <x:c r="Q5" s="20" t="n">
        <x:v>1232.9411764705883</x:v>
      </x:c>
      <x:c r="R5" s="20" t="n">
        <x:v>1232.94</x:v>
      </x:c>
      <x:c r="S5" s="18" t="n">
        <x:v>46057</x:v>
      </x:c>
      <x:c r="T5" s="20" t="n">
        <x:v>0</x:v>
      </x:c>
      <x:c r="U5" t="str">
        <x:v>Ödendi</x:v>
      </x:c>
    </x:row>
    <x:row r="6">
      <x:c r="A6" s="22" t="n">
        <x:v>46082</x:v>
      </x:c>
      <x:c r="B6" s="22" t="n">
        <x:v>46054</x:v>
      </x:c>
      <x:c r="C6" t="str">
        <x:v>B001-R001</x:v>
      </x:c>
      <x:c r="D6" t="n">
        <x:v>1</x:v>
      </x:c>
      <x:c r="E6" t="str">
        <x:v>Ahmet Yılmaz</x:v>
      </x:c>
      <x:c r="F6" s="20" t="n">
        <x:v>162.35294117647058</x:v>
      </x:c>
      <x:c r="G6" s="20" t="n">
        <x:v>87.05882352941177</x:v>
      </x:c>
      <x:c r="H6" s="20" t="n">
        <x:v>197.64705882352942</x:v>
      </x:c>
      <x:c r="I6" s="20" t="n">
        <x:v>225.88235294117646</x:v>
      </x:c>
      <x:c r="J6" s="20" t="n">
        <x:v>0</x:v>
      </x:c>
      <x:c r="K6" s="20" t="n">
        <x:v>395.29411764705884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235.2941176470588</x:v>
      </x:c>
      <x:c r="Q6" s="20" t="n">
        <x:v>1303.5294117647059</x:v>
      </x:c>
      <x:c r="R6" s="20" t="n">
        <x:v>1303.53</x:v>
      </x:c>
      <x:c r="S6" s="18" t="n">
        <x:v>46089</x:v>
      </x:c>
      <x:c r="T6" s="20" t="n">
        <x:v>0</x:v>
      </x:c>
      <x:c r="U6" t="str">
        <x:v>Ödendi</x:v>
      </x:c>
    </x:row>
    <x:row r="7">
      <x:c r="A7" s="22" t="n">
        <x:v>46113</x:v>
      </x:c>
      <x:c r="B7" s="22" t="n">
        <x:v>46082</x:v>
      </x:c>
      <x:c r="C7" t="str">
        <x:v>B001-R001</x:v>
      </x:c>
      <x:c r="D7" t="n">
        <x:v>1</x:v>
      </x:c>
      <x:c r="E7" t="str">
        <x:v>Ahmet Yılmaz</x:v>
      </x:c>
      <x:c r="F7" s="20" t="n">
        <x:v>148.7058823529412</x:v>
      </x:c>
      <x:c r="G7" s="20" t="n">
        <x:v>83.76470588235294</x:v>
      </x:c>
      <x:c r="H7" s="20" t="n">
        <x:v>197.64705882352942</x:v>
      </x:c>
      <x:c r="I7" s="20" t="n">
        <x:v>0</x:v>
      </x:c>
      <x:c r="J7" s="20" t="n">
        <x:v>0</x:v>
      </x:c>
      <x:c r="K7" s="20" t="n">
        <x:v>0</x:v>
      </x:c>
      <x:c r="L7" s="20" t="n">
        <x:v>282.3529411764706</x:v>
      </x:c>
      <x:c r="M7" s="20" t="n">
        <x:v>0</x:v>
      </x:c>
      <x:c r="N7" s="20" t="n">
        <x:v>357.6470588235294</x:v>
      </x:c>
      <x:c r="O7" s="20" t="n">
        <x:v>0</x:v>
      </x:c>
      <x:c r="P7" s="20" t="n">
        <x:v>235.2941176470588</x:v>
      </x:c>
      <x:c r="Q7" s="20" t="n">
        <x:v>1305.4117647058824</x:v>
      </x:c>
      <x:c r="R7" s="20" t="n">
        <x:v>1305.41</x:v>
      </x:c>
      <x:c r="S7" s="18" t="n">
        <x:v>46119</x:v>
      </x:c>
      <x:c r="T7" s="20" t="n">
        <x:v>0</x:v>
      </x:c>
      <x:c r="U7" t="str">
        <x:v>Ödendi</x:v>
      </x:c>
    </x:row>
    <x:row r="8">
      <x:c r="A8" s="22" t="n">
        <x:v>46143</x:v>
      </x:c>
      <x:c r="B8" s="22" t="n">
        <x:v>46113</x:v>
      </x:c>
      <x:c r="C8" t="str">
        <x:v>B001-R001</x:v>
      </x:c>
      <x:c r="D8" t="n">
        <x:v>1</x:v>
      </x:c>
      <x:c r="E8" t="str">
        <x:v>Ahmet Yılmaz</x:v>
      </x:c>
      <x:c r="F8" s="20" t="n">
        <x:v>159.05882352941177</x:v>
      </x:c>
      <x:c r="G8" s="20" t="n">
        <x:v>85.6470588235294</x:v>
      </x:c>
      <x:c r="H8" s="20" t="n">
        <x:v>207.05882352941177</x:v>
      </x:c>
      <x:c r="I8" s="20" t="n">
        <x:v>0</x:v>
      </x:c>
      <x:c r="J8" s="20" t="n">
        <x:v>583.5294117647059</x:v>
      </x:c>
      <x:c r="K8" s="20" t="n">
        <x:v>0</x:v>
      </x:c>
      <x:c r="L8" s="20" t="n">
        <x:v>0</x:v>
      </x:c>
      <x:c r="M8" s="20" t="n">
        <x:v>244.70588235294116</x:v>
      </x:c>
      <x:c r="N8" s="20" t="n">
        <x:v>0</x:v>
      </x:c>
      <x:c r="O8" s="20" t="n">
        <x:v>0</x:v>
      </x:c>
      <x:c r="P8" s="20" t="n">
        <x:v>235.2941176470588</x:v>
      </x:c>
      <x:c r="Q8" s="20" t="n">
        <x:v>1515.2941176470588</x:v>
      </x:c>
      <x:c r="R8" s="20" t="n">
        <x:v>1515.29</x:v>
      </x:c>
      <x:c r="S8" s="18" t="n">
        <x:v>46149</x:v>
      </x:c>
      <x:c r="T8" s="20" t="n">
        <x:v>0</x:v>
      </x:c>
      <x:c r="U8" t="str">
        <x:v>Ödendi</x:v>
      </x:c>
    </x:row>
    <x:row r="9">
      <x:c r="A9" s="22" t="n">
        <x:v>46174</x:v>
      </x:c>
      <x:c r="B9" s="22" t="n">
        <x:v>46143</x:v>
      </x:c>
      <x:c r="C9" t="str">
        <x:v>B001-R001</x:v>
      </x:c>
      <x:c r="D9" t="n">
        <x:v>1</x:v>
      </x:c>
      <x:c r="E9" t="str">
        <x:v>Ahmet Yılmaz</x:v>
      </x:c>
      <x:c r="F9" s="20" t="n">
        <x:v>170.35294117647058</x:v>
      </x:c>
      <x:c r="G9" s="20" t="n">
        <x:v>92.23529411764706</x:v>
      </x:c>
      <x:c r="H9" s="20" t="n">
        <x:v>207.05882352941177</x:v>
      </x:c>
      <x:c r="I9" s="20" t="n">
        <x:v>338.8235294117647</x:v>
      </x:c>
      <x:c r="J9" s="20" t="n">
        <x:v>0</x:v>
      </x:c>
      <x:c r="K9" s="20" t="n">
        <x:v>0</x:v>
      </x:c>
      <x:c r="L9" s="20" t="n">
        <x:v>282.3529411764706</x:v>
      </x:c>
      <x:c r="M9" s="20" t="n">
        <x:v>0</x:v>
      </x:c>
      <x:c r="N9" s="20" t="n">
        <x:v>0</x:v>
      </x:c>
      <x:c r="O9" s="20" t="n">
        <x:v>0</x:v>
      </x:c>
      <x:c r="P9" s="20" t="n">
        <x:v>235.2941176470588</x:v>
      </x:c>
      <x:c r="Q9" s="20" t="n">
        <x:v>1326.1176470588234</x:v>
      </x:c>
      <x:c r="R9" s="20" t="n">
        <x:v>1326.12</x:v>
      </x:c>
      <x:c r="S9" s="18" t="n">
        <x:v>46179</x:v>
      </x:c>
      <x:c r="T9" s="20" t="n">
        <x:v>0</x:v>
      </x:c>
      <x:c r="U9" t="str">
        <x:v>Ödendi</x:v>
      </x:c>
    </x:row>
    <x:row r="10">
      <x:c r="A10" s="22" t="n">
        <x:v>46204</x:v>
      </x:c>
      <x:c r="B10" s="22" t="n">
        <x:v>46174</x:v>
      </x:c>
      <x:c r="C10" t="str">
        <x:v>B001-R001</x:v>
      </x:c>
      <x:c r="D10" t="n">
        <x:v>1</x:v>
      </x:c>
      <x:c r="E10" t="str">
        <x:v>Ahmet Yılmaz</x:v>
      </x:c>
      <x:c r="F10" s="20" t="n">
        <x:v>182.58823529411765</x:v>
      </x:c>
      <x:c r="G10" s="20" t="n">
        <x:v>96</x:v>
      </x:c>
      <x:c r="H10" s="20" t="n">
        <x:v>207.05882352941177</x:v>
      </x:c>
      <x:c r="I10" s="20" t="n">
        <x:v>0</x:v>
      </x:c>
      <x:c r="J10" s="20" t="n">
        <x:v>0</x:v>
      </x:c>
      <x:c r="K10" s="20" t="n">
        <x:v>0</x:v>
      </x:c>
      <x:c r="L10" s="20" t="n">
        <x:v>301.1764705882353</x:v>
      </x:c>
      <x:c r="M10" s="20" t="n">
        <x:v>0</x:v>
      </x:c>
      <x:c r="N10" s="20" t="n">
        <x:v>0</x:v>
      </x:c>
      <x:c r="O10" s="20" t="n">
        <x:v>1647.0588235294117</x:v>
      </x:c>
      <x:c r="P10" s="20" t="n">
        <x:v>235.2941176470588</x:v>
      </x:c>
      <x:c r="Q10" s="20" t="n">
        <x:v>2669.176470588235</x:v>
      </x:c>
      <x:c r="R10" s="20" t="n">
        <x:v>2669.18</x:v>
      </x:c>
      <x:c r="S10" s="18" t="n">
        <x:v>46208</x:v>
      </x:c>
      <x:c r="T10" s="20" t="n">
        <x:v>0</x:v>
      </x:c>
      <x:c r="U10" t="str">
        <x:v>Ödendi</x:v>
      </x:c>
    </x:row>
    <x:row r="11">
      <x:c r="A11" s="22" t="n">
        <x:v>46023</x:v>
      </x:c>
      <x:c r="B11" s="22" t="n">
        <x:v>45992</x:v>
      </x:c>
      <x:c r="C11" t="str">
        <x:v>B001-R002</x:v>
      </x:c>
      <x:c r="D11" t="n">
        <x:v>2</x:v>
      </x:c>
      <x:c r="E11" t="str">
        <x:v>Mehmet Kaya</x:v>
      </x:c>
      <x:c r="F11" s="20" t="n">
        <x:v>170.19607843137254</x:v>
      </x:c>
      <x:c r="G11" s="20" t="n">
        <x:v>90.0392156862745</x:v>
      </x:c>
      <x:c r="H11" s="20" t="n">
        <x:v>230.58823529411765</x:v>
      </x:c>
      <x:c r="I11" s="20" t="n">
        <x:v>197.64705882352942</x:v>
      </x:c>
      <x:c r="J11" s="20" t="n">
        <x:v>0</x:v>
      </x:c>
      <x:c r="K11" s="20" t="n">
        <x:v>0</x:v>
      </x:c>
      <x:c r="L11" s="20" t="n">
        <x:v>307.45098039215685</x:v>
      </x:c>
      <x:c r="M11" s="20" t="n">
        <x:v>0</x:v>
      </x:c>
      <x:c r="N11" s="20" t="n">
        <x:v>0</x:v>
      </x:c>
      <x:c r="O11" s="20" t="n">
        <x:v>0</x:v>
      </x:c>
      <x:c r="P11" s="20" t="n">
        <x:v>274.5098039215686</x:v>
      </x:c>
      <x:c r="Q11" s="20" t="n">
        <x:v>1270.4313725490197</x:v>
      </x:c>
      <x:c r="R11" s="20" t="n">
        <x:v>1270.43</x:v>
      </x:c>
      <x:c r="S11" s="18" t="n">
        <x:v>46034</x:v>
      </x:c>
      <x:c r="T11" s="20" t="n">
        <x:v>0</x:v>
      </x:c>
      <x:c r="U11" t="str">
        <x:v>Ödendi</x:v>
      </x:c>
    </x:row>
    <x:row r="12">
      <x:c r="A12" s="22" t="n">
        <x:v>46054</x:v>
      </x:c>
      <x:c r="B12" s="22" t="n">
        <x:v>46023</x:v>
      </x:c>
      <x:c r="C12" t="str">
        <x:v>B001-R002</x:v>
      </x:c>
      <x:c r="D12" t="n">
        <x:v>2</x:v>
      </x:c>
      <x:c r="E12" t="str">
        <x:v>Mehmet Kaya</x:v>
      </x:c>
      <x:c r="F12" s="20" t="n">
        <x:v>181.1764705882353</x:v>
      </x:c>
      <x:c r="G12" s="20" t="n">
        <x:v>93.33333333333333</x:v>
      </x:c>
      <x:c r="H12" s="20" t="n">
        <x:v>230.58823529411765</x:v>
      </x:c>
      <x:c r="I12" s="20" t="n">
        <x:v>0</x:v>
      </x:c>
      <x:c r="J12" s="20" t="n">
        <x:v>351.37254901960785</x:v>
      </x:c>
      <x:c r="K12" s="20" t="n">
        <x:v>0</x:v>
      </x:c>
      <x:c r="L12" s="20" t="n">
        <x:v>307.45098039215685</x:v>
      </x:c>
      <x:c r="M12" s="20" t="n">
        <x:v>0</x:v>
      </x:c>
      <x:c r="N12" s="20" t="n">
        <x:v>0</x:v>
      </x:c>
      <x:c r="O12" s="20" t="n">
        <x:v>0</x:v>
      </x:c>
      <x:c r="P12" s="20" t="n">
        <x:v>274.5098039215686</x:v>
      </x:c>
      <x:c r="Q12" s="20" t="n">
        <x:v>1438.4313725490197</x:v>
      </x:c>
      <x:c r="R12" s="20" t="n">
        <x:v>1438.43</x:v>
      </x:c>
      <x:c r="S12" s="18" t="n">
        <x:v>46058</x:v>
      </x:c>
      <x:c r="T12" s="20" t="n">
        <x:v>0</x:v>
      </x:c>
      <x:c r="U12" t="str">
        <x:v>Ödendi</x:v>
      </x:c>
    </x:row>
    <x:row r="13">
      <x:c r="A13" s="22" t="n">
        <x:v>46082</x:v>
      </x:c>
      <x:c r="B13" s="22" t="n">
        <x:v>46054</x:v>
      </x:c>
      <x:c r="C13" t="str">
        <x:v>B001-R002</x:v>
      </x:c>
      <x:c r="D13" t="n">
        <x:v>2</x:v>
      </x:c>
      <x:c r="E13" t="str">
        <x:v>Mehmet Kaya</x:v>
      </x:c>
      <x:c r="F13" s="20" t="n">
        <x:v>189.41176470588235</x:v>
      </x:c>
      <x:c r="G13" s="20" t="n">
        <x:v>101.56862745098039</x:v>
      </x:c>
      <x:c r="H13" s="20" t="n">
        <x:v>230.58823529411765</x:v>
      </x:c>
      <x:c r="I13" s="20" t="n">
        <x:v>263.52941176470586</x:v>
      </x:c>
      <x:c r="J13" s="20" t="n">
        <x:v>0</x:v>
      </x:c>
      <x:c r="K13" s="20" t="n">
        <x:v>461.1764705882353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274.5098039215686</x:v>
      </x:c>
      <x:c r="Q13" s="20" t="n">
        <x:v>1520.7843137254902</x:v>
      </x:c>
      <x:c r="R13" s="20" t="n">
        <x:v>0</x:v>
      </x:c>
      <x:c r="S13" s="18"/>
      <x:c r="T13" s="20" t="n">
        <x:v>1520.78</x:v>
      </x:c>
      <x:c r="U13" t="str">
        <x:v>Ödenmedi</x:v>
      </x:c>
    </x:row>
    <x:row r="14">
      <x:c r="A14" s="22" t="n">
        <x:v>46113</x:v>
      </x:c>
      <x:c r="B14" s="22" t="n">
        <x:v>46082</x:v>
      </x:c>
      <x:c r="C14" t="str">
        <x:v>B001-R002</x:v>
      </x:c>
      <x:c r="D14" t="n">
        <x:v>2</x:v>
      </x:c>
      <x:c r="E14" t="str">
        <x:v>Mehmet Kaya</x:v>
      </x:c>
      <x:c r="F14" s="20" t="n">
        <x:v>173.49019607843138</x:v>
      </x:c>
      <x:c r="G14" s="20" t="n">
        <x:v>97.72549019607843</x:v>
      </x:c>
      <x:c r="H14" s="20" t="n">
        <x:v>230.58823529411765</x:v>
      </x:c>
      <x:c r="I14" s="20" t="n">
        <x:v>0</x:v>
      </x:c>
      <x:c r="J14" s="20" t="n">
        <x:v>0</x:v>
      </x:c>
      <x:c r="K14" s="20" t="n">
        <x:v>0</x:v>
      </x:c>
      <x:c r="L14" s="20" t="n">
        <x:v>329.4117647058824</x:v>
      </x:c>
      <x:c r="M14" s="20" t="n">
        <x:v>0</x:v>
      </x:c>
      <x:c r="N14" s="20" t="n">
        <x:v>417.2549019607843</x:v>
      </x:c>
      <x:c r="O14" s="20" t="n">
        <x:v>0</x:v>
      </x:c>
      <x:c r="P14" s="20" t="n">
        <x:v>274.5098039215686</x:v>
      </x:c>
      <x:c r="Q14" s="20" t="n">
        <x:v>1522.9803921568628</x:v>
      </x:c>
      <x:c r="R14" s="20" t="n">
        <x:v>1522.98</x:v>
      </x:c>
      <x:c r="S14" s="18" t="n">
        <x:v>46125</x:v>
      </x:c>
      <x:c r="T14" s="20" t="n">
        <x:v>0</x:v>
      </x:c>
      <x:c r="U14" t="str">
        <x:v>Ödendi</x:v>
      </x:c>
    </x:row>
    <x:row r="15">
      <x:c r="A15" s="22" t="n">
        <x:v>46143</x:v>
      </x:c>
      <x:c r="B15" s="22" t="n">
        <x:v>46113</x:v>
      </x:c>
      <x:c r="C15" t="str">
        <x:v>B001-R002</x:v>
      </x:c>
      <x:c r="D15" t="n">
        <x:v>2</x:v>
      </x:c>
      <x:c r="E15" t="str">
        <x:v>Mehmet Kaya</x:v>
      </x:c>
      <x:c r="F15" s="20" t="n">
        <x:v>185.5686274509804</x:v>
      </x:c>
      <x:c r="G15" s="20" t="n">
        <x:v>99.92156862745098</x:v>
      </x:c>
      <x:c r="H15" s="20" t="n">
        <x:v>241.5686274509804</x:v>
      </x:c>
      <x:c r="I15" s="20" t="n">
        <x:v>0</x:v>
      </x:c>
      <x:c r="J15" s="20" t="n">
        <x:v>680.7843137254902</x:v>
      </x:c>
      <x:c r="K15" s="20" t="n">
        <x:v>0</x:v>
      </x:c>
      <x:c r="L15" s="20" t="n">
        <x:v>0</x:v>
      </x:c>
      <x:c r="M15" s="20" t="n">
        <x:v>285.4901960784314</x:v>
      </x:c>
      <x:c r="N15" s="20" t="n">
        <x:v>0</x:v>
      </x:c>
      <x:c r="O15" s="20" t="n">
        <x:v>0</x:v>
      </x:c>
      <x:c r="P15" s="20" t="n">
        <x:v>274.5098039215686</x:v>
      </x:c>
      <x:c r="Q15" s="20" t="n">
        <x:v>1767.8431372549019</x:v>
      </x:c>
      <x:c r="R15" s="20" t="n">
        <x:v>1767.84</x:v>
      </x:c>
      <x:c r="S15" s="18" t="n">
        <x:v>46152</x:v>
      </x:c>
      <x:c r="T15" s="20" t="n">
        <x:v>0</x:v>
      </x:c>
      <x:c r="U15" t="str">
        <x:v>Ödendi</x:v>
      </x:c>
    </x:row>
    <x:row r="16">
      <x:c r="A16" s="22" t="n">
        <x:v>46174</x:v>
      </x:c>
      <x:c r="B16" s="22" t="n">
        <x:v>46143</x:v>
      </x:c>
      <x:c r="C16" t="str">
        <x:v>B001-R002</x:v>
      </x:c>
      <x:c r="D16" t="n">
        <x:v>2</x:v>
      </x:c>
      <x:c r="E16" t="str">
        <x:v>Mehmet Kaya</x:v>
      </x:c>
      <x:c r="F16" s="20" t="n">
        <x:v>198.7450980392157</x:v>
      </x:c>
      <x:c r="G16" s="20" t="n">
        <x:v>107.6078431372549</x:v>
      </x:c>
      <x:c r="H16" s="20" t="n">
        <x:v>241.5686274509804</x:v>
      </x:c>
      <x:c r="I16" s="20" t="n">
        <x:v>395.29411764705884</x:v>
      </x:c>
      <x:c r="J16" s="20" t="n">
        <x:v>0</x:v>
      </x:c>
      <x:c r="K16" s="20" t="n">
        <x:v>0</x:v>
      </x:c>
      <x:c r="L16" s="20" t="n">
        <x:v>329.4117647058824</x:v>
      </x:c>
      <x:c r="M16" s="20" t="n">
        <x:v>0</x:v>
      </x:c>
      <x:c r="N16" s="20" t="n">
        <x:v>0</x:v>
      </x:c>
      <x:c r="O16" s="20" t="n">
        <x:v>0</x:v>
      </x:c>
      <x:c r="P16" s="20" t="n">
        <x:v>274.5098039215686</x:v>
      </x:c>
      <x:c r="Q16" s="20" t="n">
        <x:v>1547.137254901961</x:v>
      </x:c>
      <x:c r="R16" s="20" t="n">
        <x:v>1547.14</x:v>
      </x:c>
      <x:c r="S16" s="18" t="n">
        <x:v>46177</x:v>
      </x:c>
      <x:c r="T16" s="20" t="n">
        <x:v>0</x:v>
      </x:c>
      <x:c r="U16" t="str">
        <x:v>Ödendi</x:v>
      </x:c>
    </x:row>
    <x:row r="17">
      <x:c r="A17" s="22" t="n">
        <x:v>46204</x:v>
      </x:c>
      <x:c r="B17" s="22" t="n">
        <x:v>46174</x:v>
      </x:c>
      <x:c r="C17" t="str">
        <x:v>B001-R002</x:v>
      </x:c>
      <x:c r="D17" t="n">
        <x:v>2</x:v>
      </x:c>
      <x:c r="E17" t="str">
        <x:v>Mehmet Kaya</x:v>
      </x:c>
      <x:c r="F17" s="20" t="n">
        <x:v>213.01960784313727</x:v>
      </x:c>
      <x:c r="G17" s="20" t="n">
        <x:v>112</x:v>
      </x:c>
      <x:c r="H17" s="20" t="n">
        <x:v>241.5686274509804</x:v>
      </x:c>
      <x:c r="I17" s="20" t="n">
        <x:v>0</x:v>
      </x:c>
      <x:c r="J17" s="20" t="n">
        <x:v>0</x:v>
      </x:c>
      <x:c r="K17" s="20" t="n">
        <x:v>0</x:v>
      </x:c>
      <x:c r="L17" s="20" t="n">
        <x:v>351.37254901960785</x:v>
      </x:c>
      <x:c r="M17" s="20" t="n">
        <x:v>0</x:v>
      </x:c>
      <x:c r="N17" s="20" t="n">
        <x:v>0</x:v>
      </x:c>
      <x:c r="O17" s="20" t="n">
        <x:v>1921.5686274509803</x:v>
      </x:c>
      <x:c r="P17" s="20" t="n">
        <x:v>274.5098039215686</x:v>
      </x:c>
      <x:c r="Q17" s="20" t="n">
        <x:v>3114.0392156862745</x:v>
      </x:c>
      <x:c r="R17" s="20" t="n">
        <x:v>3114.04</x:v>
      </x:c>
      <x:c r="S17" s="18" t="n">
        <x:v>46207</x:v>
      </x:c>
      <x:c r="T17" s="20" t="n">
        <x:v>0</x:v>
      </x:c>
      <x:c r="U17" t="str">
        <x:v>Ödendi</x:v>
      </x:c>
    </x:row>
    <x:row r="18">
      <x:c r="A18" s="22" t="n">
        <x:v>46023</x:v>
      </x:c>
      <x:c r="B18" s="22" t="n">
        <x:v>45992</x:v>
      </x:c>
      <x:c r="C18" t="str">
        <x:v>B001-R003</x:v>
      </x:c>
      <x:c r="D18" t="n">
        <x:v>3</x:v>
      </x:c>
      <x:c r="E18" t="str">
        <x:v>Ayşe Demir</x:v>
      </x:c>
      <x:c r="F18" s="20" t="n">
        <x:v>194.50980392156862</x:v>
      </x:c>
      <x:c r="G18" s="20" t="n">
        <x:v>102.90196078431373</x:v>
      </x:c>
      <x:c r="H18" s="20" t="n">
        <x:v>263.52941176470586</x:v>
      </x:c>
      <x:c r="I18" s="20" t="n">
        <x:v>225.88235294117646</x:v>
      </x:c>
      <x:c r="J18" s="20" t="n">
        <x:v>0</x:v>
      </x:c>
      <x:c r="K18" s="20" t="n">
        <x:v>0</x:v>
      </x:c>
      <x:c r="L18" s="20" t="n">
        <x:v>351.37254901960785</x:v>
      </x:c>
      <x:c r="M18" s="20" t="n">
        <x:v>0</x:v>
      </x:c>
      <x:c r="N18" s="20" t="n">
        <x:v>0</x:v>
      </x:c>
      <x:c r="O18" s="20" t="n">
        <x:v>0</x:v>
      </x:c>
      <x:c r="P18" s="20" t="n">
        <x:v>313.72549019607845</x:v>
      </x:c>
      <x:c r="Q18" s="20" t="n">
        <x:v>1451.921568627451</x:v>
      </x:c>
      <x:c r="R18" s="20" t="n">
        <x:v>1451.92</x:v>
      </x:c>
      <x:c r="S18" s="18" t="n">
        <x:v>46027</x:v>
      </x:c>
      <x:c r="T18" s="20" t="n">
        <x:v>0</x:v>
      </x:c>
      <x:c r="U18" t="str">
        <x:v>Ödendi</x:v>
      </x:c>
    </x:row>
    <x:row r="19">
      <x:c r="A19" s="22" t="n">
        <x:v>46054</x:v>
      </x:c>
      <x:c r="B19" s="22" t="n">
        <x:v>46023</x:v>
      </x:c>
      <x:c r="C19" t="str">
        <x:v>B001-R003</x:v>
      </x:c>
      <x:c r="D19" t="n">
        <x:v>3</x:v>
      </x:c>
      <x:c r="E19" t="str">
        <x:v>Ayşe Demir</x:v>
      </x:c>
      <x:c r="F19" s="20" t="n">
        <x:v>207.05882352941177</x:v>
      </x:c>
      <x:c r="G19" s="20" t="n">
        <x:v>106.66666666666667</x:v>
      </x:c>
      <x:c r="H19" s="20" t="n">
        <x:v>263.52941176470586</x:v>
      </x:c>
      <x:c r="I19" s="20" t="n">
        <x:v>0</x:v>
      </x:c>
      <x:c r="J19" s="20" t="n">
        <x:v>401.5686274509804</x:v>
      </x:c>
      <x:c r="K19" s="20" t="n">
        <x:v>0</x:v>
      </x:c>
      <x:c r="L19" s="20" t="n">
        <x:v>351.37254901960785</x:v>
      </x:c>
      <x:c r="M19" s="20" t="n">
        <x:v>0</x:v>
      </x:c>
      <x:c r="N19" s="20" t="n">
        <x:v>0</x:v>
      </x:c>
      <x:c r="O19" s="20" t="n">
        <x:v>0</x:v>
      </x:c>
      <x:c r="P19" s="20" t="n">
        <x:v>313.72549019607845</x:v>
      </x:c>
      <x:c r="Q19" s="20" t="n">
        <x:v>1643.921568627451</x:v>
      </x:c>
      <x:c r="R19" s="20" t="n">
        <x:v>1643.92</x:v>
      </x:c>
      <x:c r="S19" s="18" t="n">
        <x:v>46060</x:v>
      </x:c>
      <x:c r="T19" s="20" t="n">
        <x:v>0</x:v>
      </x:c>
      <x:c r="U19" t="str">
        <x:v>Ödendi</x:v>
      </x:c>
    </x:row>
    <x:row r="20">
      <x:c r="A20" s="22" t="n">
        <x:v>46082</x:v>
      </x:c>
      <x:c r="B20" s="22" t="n">
        <x:v>46054</x:v>
      </x:c>
      <x:c r="C20" t="str">
        <x:v>B001-R003</x:v>
      </x:c>
      <x:c r="D20" t="n">
        <x:v>3</x:v>
      </x:c>
      <x:c r="E20" t="str">
        <x:v>Ayşe Demir</x:v>
      </x:c>
      <x:c r="F20" s="20" t="n">
        <x:v>216.47058823529412</x:v>
      </x:c>
      <x:c r="G20" s="20" t="n">
        <x:v>116.07843137254902</x:v>
      </x:c>
      <x:c r="H20" s="20" t="n">
        <x:v>263.52941176470586</x:v>
      </x:c>
      <x:c r="I20" s="20" t="n">
        <x:v>301.1764705882353</x:v>
      </x:c>
      <x:c r="J20" s="20" t="n">
        <x:v>0</x:v>
      </x:c>
      <x:c r="K20" s="20" t="n">
        <x:v>527.0588235294117</x:v>
      </x:c>
      <x:c r="L20" s="20" t="n">
        <x:v>0</x:v>
      </x:c>
      <x:c r="M20" s="20" t="n">
        <x:v>0</x:v>
      </x:c>
      <x:c r="N20" s="20" t="n">
        <x:v>0</x:v>
      </x:c>
      <x:c r="O20" s="20" t="n">
        <x:v>0</x:v>
      </x:c>
      <x:c r="P20" s="20" t="n">
        <x:v>313.72549019607845</x:v>
      </x:c>
      <x:c r="Q20" s="20" t="n">
        <x:v>1738.0392156862745</x:v>
      </x:c>
      <x:c r="R20" s="20" t="n">
        <x:v>1738.04</x:v>
      </x:c>
      <x:c r="S20" s="18" t="n">
        <x:v>46088</x:v>
      </x:c>
      <x:c r="T20" s="20" t="n">
        <x:v>0</x:v>
      </x:c>
      <x:c r="U20" t="str">
        <x:v>Ödendi</x:v>
      </x:c>
    </x:row>
    <x:row r="21">
      <x:c r="A21" s="22" t="n">
        <x:v>46113</x:v>
      </x:c>
      <x:c r="B21" s="22" t="n">
        <x:v>46082</x:v>
      </x:c>
      <x:c r="C21" t="str">
        <x:v>B001-R003</x:v>
      </x:c>
      <x:c r="D21" t="n">
        <x:v>3</x:v>
      </x:c>
      <x:c r="E21" t="str">
        <x:v>Ayşe Demir</x:v>
      </x:c>
      <x:c r="F21" s="20" t="n">
        <x:v>198.27450980392157</x:v>
      </x:c>
      <x:c r="G21" s="20" t="n">
        <x:v>111.68627450980392</x:v>
      </x:c>
      <x:c r="H21" s="20" t="n">
        <x:v>263.52941176470586</x:v>
      </x:c>
      <x:c r="I21" s="20" t="n">
        <x:v>0</x:v>
      </x:c>
      <x:c r="J21" s="20" t="n">
        <x:v>0</x:v>
      </x:c>
      <x:c r="K21" s="20" t="n">
        <x:v>0</x:v>
      </x:c>
      <x:c r="L21" s="20" t="n">
        <x:v>376.4705882352941</x:v>
      </x:c>
      <x:c r="M21" s="20" t="n">
        <x:v>0</x:v>
      </x:c>
      <x:c r="N21" s="20" t="n">
        <x:v>476.8627450980392</x:v>
      </x:c>
      <x:c r="O21" s="20" t="n">
        <x:v>0</x:v>
      </x:c>
      <x:c r="P21" s="20" t="n">
        <x:v>313.72549019607845</x:v>
      </x:c>
      <x:c r="Q21" s="20" t="n">
        <x:v>1740.549019607843</x:v>
      </x:c>
      <x:c r="R21" s="20" t="n">
        <x:v>1740.55</x:v>
      </x:c>
      <x:c r="S21" s="18" t="n">
        <x:v>46124</x:v>
      </x:c>
      <x:c r="T21" s="20" t="n">
        <x:v>0</x:v>
      </x:c>
      <x:c r="U21" t="str">
        <x:v>Ödendi</x:v>
      </x:c>
    </x:row>
    <x:row r="22">
      <x:c r="A22" s="22" t="n">
        <x:v>46143</x:v>
      </x:c>
      <x:c r="B22" s="22" t="n">
        <x:v>46113</x:v>
      </x:c>
      <x:c r="C22" t="str">
        <x:v>B001-R003</x:v>
      </x:c>
      <x:c r="D22" t="n">
        <x:v>3</x:v>
      </x:c>
      <x:c r="E22" t="str">
        <x:v>Ayşe Demir</x:v>
      </x:c>
      <x:c r="F22" s="20" t="n">
        <x:v>212.078431372549</x:v>
      </x:c>
      <x:c r="G22" s="20" t="n">
        <x:v>114.19607843137254</x:v>
      </x:c>
      <x:c r="H22" s="20" t="n">
        <x:v>276.078431372549</x:v>
      </x:c>
      <x:c r="I22" s="20" t="n">
        <x:v>0</x:v>
      </x:c>
      <x:c r="J22" s="20" t="n">
        <x:v>778.0392156862745</x:v>
      </x:c>
      <x:c r="K22" s="20" t="n">
        <x:v>0</x:v>
      </x:c>
      <x:c r="L22" s="20" t="n">
        <x:v>0</x:v>
      </x:c>
      <x:c r="M22" s="20" t="n">
        <x:v>326.27450980392155</x:v>
      </x:c>
      <x:c r="N22" s="20" t="n">
        <x:v>0</x:v>
      </x:c>
      <x:c r="O22" s="20" t="n">
        <x:v>0</x:v>
      </x:c>
      <x:c r="P22" s="20" t="n">
        <x:v>313.72549019607845</x:v>
      </x:c>
      <x:c r="Q22" s="20" t="n">
        <x:v>2020.392156862745</x:v>
      </x:c>
      <x:c r="R22" s="20" t="n">
        <x:v>1010.2</x:v>
      </x:c>
      <x:c r="S22" s="18" t="n">
        <x:v>46157</x:v>
      </x:c>
      <x:c r="T22" s="20" t="n">
        <x:v>1010.19</x:v>
      </x:c>
      <x:c r="U22" t="str">
        <x:v>Kısmi Ödeme</x:v>
      </x:c>
    </x:row>
    <x:row r="23">
      <x:c r="A23" s="22" t="n">
        <x:v>46174</x:v>
      </x:c>
      <x:c r="B23" s="22" t="n">
        <x:v>46143</x:v>
      </x:c>
      <x:c r="C23" t="str">
        <x:v>B001-R003</x:v>
      </x:c>
      <x:c r="D23" t="n">
        <x:v>3</x:v>
      </x:c>
      <x:c r="E23" t="str">
        <x:v>Ayşe Demir</x:v>
      </x:c>
      <x:c r="F23" s="20" t="n">
        <x:v>227.13725490196077</x:v>
      </x:c>
      <x:c r="G23" s="20" t="n">
        <x:v>122.98039215686275</x:v>
      </x:c>
      <x:c r="H23" s="20" t="n">
        <x:v>276.078431372549</x:v>
      </x:c>
      <x:c r="I23" s="20" t="n">
        <x:v>451.7647058823529</x:v>
      </x:c>
      <x:c r="J23" s="20" t="n">
        <x:v>0</x:v>
      </x:c>
      <x:c r="K23" s="20" t="n">
        <x:v>0</x:v>
      </x:c>
      <x:c r="L23" s="20" t="n">
        <x:v>376.4705882352941</x:v>
      </x:c>
      <x:c r="M23" s="20" t="n">
        <x:v>0</x:v>
      </x:c>
      <x:c r="N23" s="20" t="n">
        <x:v>0</x:v>
      </x:c>
      <x:c r="O23" s="20" t="n">
        <x:v>0</x:v>
      </x:c>
      <x:c r="P23" s="20" t="n">
        <x:v>313.72549019607845</x:v>
      </x:c>
      <x:c r="Q23" s="20" t="n">
        <x:v>1768.156862745098</x:v>
      </x:c>
      <x:c r="R23" s="20" t="n">
        <x:v>1768.16</x:v>
      </x:c>
      <x:c r="S23" s="18" t="n">
        <x:v>46186</x:v>
      </x:c>
      <x:c r="T23" s="20" t="n">
        <x:v>0</x:v>
      </x:c>
      <x:c r="U23" t="str">
        <x:v>Ödendi</x:v>
      </x:c>
    </x:row>
    <x:row r="24">
      <x:c r="A24" s="22" t="n">
        <x:v>46204</x:v>
      </x:c>
      <x:c r="B24" s="22" t="n">
        <x:v>46174</x:v>
      </x:c>
      <x:c r="C24" t="str">
        <x:v>B001-R003</x:v>
      </x:c>
      <x:c r="D24" t="n">
        <x:v>3</x:v>
      </x:c>
      <x:c r="E24" t="str">
        <x:v>Ayşe Demir</x:v>
      </x:c>
      <x:c r="F24" s="20" t="n">
        <x:v>243.45098039215685</x:v>
      </x:c>
      <x:c r="G24" s="20" t="n">
        <x:v>128</x:v>
      </x:c>
      <x:c r="H24" s="20" t="n">
        <x:v>276.078431372549</x:v>
      </x:c>
      <x:c r="I24" s="20" t="n">
        <x:v>0</x:v>
      </x:c>
      <x:c r="J24" s="20" t="n">
        <x:v>0</x:v>
      </x:c>
      <x:c r="K24" s="20" t="n">
        <x:v>0</x:v>
      </x:c>
      <x:c r="L24" s="20" t="n">
        <x:v>401.5686274509804</x:v>
      </x:c>
      <x:c r="M24" s="20" t="n">
        <x:v>0</x:v>
      </x:c>
      <x:c r="N24" s="20" t="n">
        <x:v>0</x:v>
      </x:c>
      <x:c r="O24" s="20" t="n">
        <x:v>2196.078431372549</x:v>
      </x:c>
      <x:c r="P24" s="20" t="n">
        <x:v>313.72549019607845</x:v>
      </x:c>
      <x:c r="Q24" s="20" t="n">
        <x:v>3558.901960784314</x:v>
      </x:c>
      <x:c r="R24" s="20" t="n">
        <x:v>3558.9</x:v>
      </x:c>
      <x:c r="S24" s="18" t="n">
        <x:v>46207</x:v>
      </x:c>
      <x:c r="T24" s="20" t="n">
        <x:v>0</x:v>
      </x:c>
      <x:c r="U24" t="str">
        <x:v>Ödendi</x:v>
      </x:c>
    </x:row>
    <x:row r="25">
      <x:c r="A25" s="22" t="n">
        <x:v>46023</x:v>
      </x:c>
      <x:c r="B25" s="22" t="n">
        <x:v>45992</x:v>
      </x:c>
      <x:c r="C25" t="str">
        <x:v>B001-R004</x:v>
      </x:c>
      <x:c r="D25" t="n">
        <x:v>4</x:v>
      </x:c>
      <x:c r="E25" t="str">
        <x:v>Fatma Şahin</x:v>
      </x:c>
      <x:c r="F25" s="20" t="n">
        <x:v>212.7450980392157</x:v>
      </x:c>
      <x:c r="G25" s="20" t="n">
        <x:v>112.54901960784315</x:v>
      </x:c>
      <x:c r="H25" s="20" t="n">
        <x:v>288.2352941176471</x:v>
      </x:c>
      <x:c r="I25" s="20" t="n">
        <x:v>247.0588235294118</x:v>
      </x:c>
      <x:c r="J25" s="20" t="n">
        <x:v>0</x:v>
      </x:c>
      <x:c r="K25" s="20" t="n">
        <x:v>0</x:v>
      </x:c>
      <x:c r="L25" s="20" t="n">
        <x:v>384.31372549019613</x:v>
      </x:c>
      <x:c r="M25" s="20" t="n">
        <x:v>0</x:v>
      </x:c>
      <x:c r="N25" s="20" t="n">
        <x:v>0</x:v>
      </x:c>
      <x:c r="O25" s="20" t="n">
        <x:v>0</x:v>
      </x:c>
      <x:c r="P25" s="20" t="n">
        <x:v>343.13725490196083</x:v>
      </x:c>
      <x:c r="Q25" s="20" t="n">
        <x:v>1588.0392156862747</x:v>
      </x:c>
      <x:c r="R25" s="20" t="n">
        <x:v>1588.04</x:v>
      </x:c>
      <x:c r="S25" s="18" t="n">
        <x:v>46034</x:v>
      </x:c>
      <x:c r="T25" s="20" t="n">
        <x:v>0</x:v>
      </x:c>
      <x:c r="U25" t="str">
        <x:v>Ödendi</x:v>
      </x:c>
    </x:row>
    <x:row r="26">
      <x:c r="A26" s="22" t="n">
        <x:v>46054</x:v>
      </x:c>
      <x:c r="B26" s="22" t="n">
        <x:v>46023</x:v>
      </x:c>
      <x:c r="C26" t="str">
        <x:v>B001-R004</x:v>
      </x:c>
      <x:c r="D26" t="n">
        <x:v>4</x:v>
      </x:c>
      <x:c r="E26" t="str">
        <x:v>Fatma Şahin</x:v>
      </x:c>
      <x:c r="F26" s="20" t="n">
        <x:v>226.47058823529414</x:v>
      </x:c>
      <x:c r="G26" s="20" t="n">
        <x:v>116.66666666666667</x:v>
      </x:c>
      <x:c r="H26" s="20" t="n">
        <x:v>288.2352941176471</x:v>
      </x:c>
      <x:c r="I26" s="20" t="n">
        <x:v>0</x:v>
      </x:c>
      <x:c r="J26" s="20" t="n">
        <x:v>439.21568627450984</x:v>
      </x:c>
      <x:c r="K26" s="20" t="n">
        <x:v>0</x:v>
      </x:c>
      <x:c r="L26" s="20" t="n">
        <x:v>384.31372549019613</x:v>
      </x:c>
      <x:c r="M26" s="20" t="n">
        <x:v>0</x:v>
      </x:c>
      <x:c r="N26" s="20" t="n">
        <x:v>0</x:v>
      </x:c>
      <x:c r="O26" s="20" t="n">
        <x:v>0</x:v>
      </x:c>
      <x:c r="P26" s="20" t="n">
        <x:v>343.13725490196083</x:v>
      </x:c>
      <x:c r="Q26" s="20" t="n">
        <x:v>1798.0392156862747</x:v>
      </x:c>
      <x:c r="R26" s="20" t="n">
        <x:v>1798.04</x:v>
      </x:c>
      <x:c r="S26" s="18" t="n">
        <x:v>46060</x:v>
      </x:c>
      <x:c r="T26" s="20" t="n">
        <x:v>0</x:v>
      </x:c>
      <x:c r="U26" t="str">
        <x:v>Ödendi</x:v>
      </x:c>
    </x:row>
    <x:row r="27">
      <x:c r="A27" s="22" t="n">
        <x:v>46082</x:v>
      </x:c>
      <x:c r="B27" s="22" t="n">
        <x:v>46054</x:v>
      </x:c>
      <x:c r="C27" t="str">
        <x:v>B001-R004</x:v>
      </x:c>
      <x:c r="D27" t="n">
        <x:v>4</x:v>
      </x:c>
      <x:c r="E27" t="str">
        <x:v>Fatma Şahin</x:v>
      </x:c>
      <x:c r="F27" s="20" t="n">
        <x:v>236.76470588235296</x:v>
      </x:c>
      <x:c r="G27" s="20" t="n">
        <x:v>126.9607843137255</x:v>
      </x:c>
      <x:c r="H27" s="20" t="n">
        <x:v>288.2352941176471</x:v>
      </x:c>
      <x:c r="I27" s="20" t="n">
        <x:v>329.4117647058824</x:v>
      </x:c>
      <x:c r="J27" s="20" t="n">
        <x:v>0</x:v>
      </x:c>
      <x:c r="K27" s="20" t="n">
        <x:v>576.4705882352941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343.13725490196083</x:v>
      </x:c>
      <x:c r="Q27" s="20" t="n">
        <x:v>1900.9803921568628</x:v>
      </x:c>
      <x:c r="R27" s="20" t="n">
        <x:v>1900.98</x:v>
      </x:c>
      <x:c r="S27" s="18" t="n">
        <x:v>46093</x:v>
      </x:c>
      <x:c r="T27" s="20" t="n">
        <x:v>0</x:v>
      </x:c>
      <x:c r="U27" t="str">
        <x:v>Ödendi</x:v>
      </x:c>
    </x:row>
    <x:row r="28">
      <x:c r="A28" s="22" t="n">
        <x:v>46113</x:v>
      </x:c>
      <x:c r="B28" s="22" t="n">
        <x:v>46082</x:v>
      </x:c>
      <x:c r="C28" t="str">
        <x:v>B001-R004</x:v>
      </x:c>
      <x:c r="D28" t="n">
        <x:v>4</x:v>
      </x:c>
      <x:c r="E28" t="str">
        <x:v>Fatma Şahin</x:v>
      </x:c>
      <x:c r="F28" s="20" t="n">
        <x:v>216.86274509803923</x:v>
      </x:c>
      <x:c r="G28" s="20" t="n">
        <x:v>122.15686274509805</x:v>
      </x:c>
      <x:c r="H28" s="20" t="n">
        <x:v>288.2352941176471</x:v>
      </x:c>
      <x:c r="I28" s="20" t="n">
        <x:v>0</x:v>
      </x:c>
      <x:c r="J28" s="20" t="n">
        <x:v>0</x:v>
      </x:c>
      <x:c r="K28" s="20" t="n">
        <x:v>0</x:v>
      </x:c>
      <x:c r="L28" s="20" t="n">
        <x:v>411.764705882353</x:v>
      </x:c>
      <x:c r="M28" s="20" t="n">
        <x:v>0</x:v>
      </x:c>
      <x:c r="N28" s="20" t="n">
        <x:v>521.5686274509804</x:v>
      </x:c>
      <x:c r="O28" s="20" t="n">
        <x:v>0</x:v>
      </x:c>
      <x:c r="P28" s="20" t="n">
        <x:v>343.13725490196083</x:v>
      </x:c>
      <x:c r="Q28" s="20" t="n">
        <x:v>1903.7254901960787</x:v>
      </x:c>
      <x:c r="R28" s="20" t="n">
        <x:v>1903.73</x:v>
      </x:c>
      <x:c r="S28" s="18" t="n">
        <x:v>46122</x:v>
      </x:c>
      <x:c r="T28" s="20" t="n">
        <x:v>0</x:v>
      </x:c>
      <x:c r="U28" t="str">
        <x:v>Ödendi</x:v>
      </x:c>
    </x:row>
    <x:row r="29">
      <x:c r="A29" s="22" t="n">
        <x:v>46143</x:v>
      </x:c>
      <x:c r="B29" s="22" t="n">
        <x:v>46113</x:v>
      </x:c>
      <x:c r="C29" t="str">
        <x:v>B001-R004</x:v>
      </x:c>
      <x:c r="D29" t="n">
        <x:v>4</x:v>
      </x:c>
      <x:c r="E29" t="str">
        <x:v>Fatma Şahin</x:v>
      </x:c>
      <x:c r="F29" s="20" t="n">
        <x:v>231.9607843137255</x:v>
      </x:c>
      <x:c r="G29" s="20" t="n">
        <x:v>124.90196078431373</x:v>
      </x:c>
      <x:c r="H29" s="20" t="n">
        <x:v>301.9607843137255</x:v>
      </x:c>
      <x:c r="I29" s="20" t="n">
        <x:v>0</x:v>
      </x:c>
      <x:c r="J29" s="20" t="n">
        <x:v>850.9803921568628</x:v>
      </x:c>
      <x:c r="K29" s="20" t="n">
        <x:v>0</x:v>
      </x:c>
      <x:c r="L29" s="20" t="n">
        <x:v>0</x:v>
      </x:c>
      <x:c r="M29" s="20" t="n">
        <x:v>356.8627450980392</x:v>
      </x:c>
      <x:c r="N29" s="20" t="n">
        <x:v>0</x:v>
      </x:c>
      <x:c r="O29" s="20" t="n">
        <x:v>0</x:v>
      </x:c>
      <x:c r="P29" s="20" t="n">
        <x:v>343.13725490196083</x:v>
      </x:c>
      <x:c r="Q29" s="20" t="n">
        <x:v>2209.8039215686276</x:v>
      </x:c>
      <x:c r="R29" s="20" t="n">
        <x:v>2209.8</x:v>
      </x:c>
      <x:c r="S29" s="18" t="n">
        <x:v>46149</x:v>
      </x:c>
      <x:c r="T29" s="20" t="n">
        <x:v>0</x:v>
      </x:c>
      <x:c r="U29" t="str">
        <x:v>Ödendi</x:v>
      </x:c>
    </x:row>
    <x:row r="30">
      <x:c r="A30" s="22" t="n">
        <x:v>46174</x:v>
      </x:c>
      <x:c r="B30" s="22" t="n">
        <x:v>46143</x:v>
      </x:c>
      <x:c r="C30" t="str">
        <x:v>B001-R004</x:v>
      </x:c>
      <x:c r="D30" t="n">
        <x:v>4</x:v>
      </x:c>
      <x:c r="E30" t="str">
        <x:v>Fatma Şahin</x:v>
      </x:c>
      <x:c r="F30" s="20" t="n">
        <x:v>248.43137254901964</x:v>
      </x:c>
      <x:c r="G30" s="20" t="n">
        <x:v>134.50980392156865</x:v>
      </x:c>
      <x:c r="H30" s="20" t="n">
        <x:v>301.9607843137255</x:v>
      </x:c>
      <x:c r="I30" s="20" t="n">
        <x:v>494.1176470588236</x:v>
      </x:c>
      <x:c r="J30" s="20" t="n">
        <x:v>0</x:v>
      </x:c>
      <x:c r="K30" s="20" t="n">
        <x:v>0</x:v>
      </x:c>
      <x:c r="L30" s="20" t="n">
        <x:v>411.764705882353</x:v>
      </x:c>
      <x:c r="M30" s="20" t="n">
        <x:v>0</x:v>
      </x:c>
      <x:c r="N30" s="20" t="n">
        <x:v>0</x:v>
      </x:c>
      <x:c r="O30" s="20" t="n">
        <x:v>0</x:v>
      </x:c>
      <x:c r="P30" s="20" t="n">
        <x:v>343.13725490196083</x:v>
      </x:c>
      <x:c r="Q30" s="20" t="n">
        <x:v>1933.9215686274513</x:v>
      </x:c>
      <x:c r="R30" s="20" t="n">
        <x:v>1933.92</x:v>
      </x:c>
      <x:c r="S30" s="18" t="n">
        <x:v>46184</x:v>
      </x:c>
      <x:c r="T30" s="20" t="n">
        <x:v>0</x:v>
      </x:c>
      <x:c r="U30" t="str">
        <x:v>Ödendi</x:v>
      </x:c>
    </x:row>
    <x:row r="31">
      <x:c r="A31" s="22" t="n">
        <x:v>46204</x:v>
      </x:c>
      <x:c r="B31" s="22" t="n">
        <x:v>46174</x:v>
      </x:c>
      <x:c r="C31" t="str">
        <x:v>B001-R004</x:v>
      </x:c>
      <x:c r="D31" t="n">
        <x:v>4</x:v>
      </x:c>
      <x:c r="E31" t="str">
        <x:v>Fatma Şahin</x:v>
      </x:c>
      <x:c r="F31" s="20" t="n">
        <x:v>266.2745098039216</x:v>
      </x:c>
      <x:c r="G31" s="20" t="n">
        <x:v>140</x:v>
      </x:c>
      <x:c r="H31" s="20" t="n">
        <x:v>301.9607843137255</x:v>
      </x:c>
      <x:c r="I31" s="20" t="n">
        <x:v>0</x:v>
      </x:c>
      <x:c r="J31" s="20" t="n">
        <x:v>0</x:v>
      </x:c>
      <x:c r="K31" s="20" t="n">
        <x:v>0</x:v>
      </x:c>
      <x:c r="L31" s="20" t="n">
        <x:v>439.21568627450984</x:v>
      </x:c>
      <x:c r="M31" s="20" t="n">
        <x:v>0</x:v>
      </x:c>
      <x:c r="N31" s="20" t="n">
        <x:v>0</x:v>
      </x:c>
      <x:c r="O31" s="20" t="n">
        <x:v>2401.9607843137255</x:v>
      </x:c>
      <x:c r="P31" s="20" t="n">
        <x:v>343.13725490196083</x:v>
      </x:c>
      <x:c r="Q31" s="20" t="n">
        <x:v>3892.5490196078435</x:v>
      </x:c>
      <x:c r="R31" s="20" t="n">
        <x:v>3892.55</x:v>
      </x:c>
      <x:c r="S31" s="18" t="n">
        <x:v>46216</x:v>
      </x:c>
      <x:c r="T31" s="20" t="n">
        <x:v>0</x:v>
      </x:c>
      <x:c r="U31" t="str">
        <x:v>Ödendi</x:v>
      </x:c>
    </x:row>
    <x:row r="32">
      <x:c r="A32" s="22" t="n">
        <x:v>46023</x:v>
      </x:c>
      <x:c r="B32" s="22" t="n">
        <x:v>45992</x:v>
      </x:c>
      <x:c r="C32" t="str">
        <x:v>B001-R005</x:v>
      </x:c>
      <x:c r="D32" t="n">
        <x:v>5</x:v>
      </x:c>
      <x:c r="E32" t="str">
        <x:v>Emre Çelik</x:v>
      </x:c>
      <x:c r="F32" s="20" t="n">
        <x:v>239.08496732026146</x:v>
      </x:c>
      <x:c r="G32" s="20" t="n">
        <x:v>126.48366013071896</x:v>
      </x:c>
      <x:c r="H32" s="20" t="n">
        <x:v>323.921568627451</x:v>
      </x:c>
      <x:c r="I32" s="20" t="n">
        <x:v>277.64705882352945</x:v>
      </x:c>
      <x:c r="J32" s="20" t="n">
        <x:v>0</x:v>
      </x:c>
      <x:c r="K32" s="20" t="n">
        <x:v>0</x:v>
      </x:c>
      <x:c r="L32" s="20" t="n">
        <x:v>431.8954248366013</x:v>
      </x:c>
      <x:c r="M32" s="20" t="n">
        <x:v>0</x:v>
      </x:c>
      <x:c r="N32" s="20" t="n">
        <x:v>0</x:v>
      </x:c>
      <x:c r="O32" s="20" t="n">
        <x:v>0</x:v>
      </x:c>
      <x:c r="P32" s="20" t="n">
        <x:v>385.62091503267976</x:v>
      </x:c>
      <x:c r="Q32" s="20" t="n">
        <x:v>1784.6535947712418</x:v>
      </x:c>
      <x:c r="R32" s="20" t="n">
        <x:v>1784.65</x:v>
      </x:c>
      <x:c r="S32" s="18" t="n">
        <x:v>46030</x:v>
      </x:c>
      <x:c r="T32" s="20" t="n">
        <x:v>0</x:v>
      </x:c>
      <x:c r="U32" t="str">
        <x:v>Ödendi</x:v>
      </x:c>
    </x:row>
    <x:row r="33">
      <x:c r="A33" s="22" t="n">
        <x:v>46054</x:v>
      </x:c>
      <x:c r="B33" s="22" t="n">
        <x:v>46023</x:v>
      </x:c>
      <x:c r="C33" t="str">
        <x:v>B001-R005</x:v>
      </x:c>
      <x:c r="D33" t="n">
        <x:v>5</x:v>
      </x:c>
      <x:c r="E33" t="str">
        <x:v>Emre Çelik</x:v>
      </x:c>
      <x:c r="F33" s="20" t="n">
        <x:v>254.50980392156865</x:v>
      </x:c>
      <x:c r="G33" s="20" t="n">
        <x:v>131.11111111111111</x:v>
      </x:c>
      <x:c r="H33" s="20" t="n">
        <x:v>323.921568627451</x:v>
      </x:c>
      <x:c r="I33" s="20" t="n">
        <x:v>0</x:v>
      </x:c>
      <x:c r="J33" s="20" t="n">
        <x:v>493.5947712418301</x:v>
      </x:c>
      <x:c r="K33" s="20" t="n">
        <x:v>0</x:v>
      </x:c>
      <x:c r="L33" s="20" t="n">
        <x:v>431.8954248366013</x:v>
      </x:c>
      <x:c r="M33" s="20" t="n">
        <x:v>0</x:v>
      </x:c>
      <x:c r="N33" s="20" t="n">
        <x:v>0</x:v>
      </x:c>
      <x:c r="O33" s="20" t="n">
        <x:v>0</x:v>
      </x:c>
      <x:c r="P33" s="20" t="n">
        <x:v>385.62091503267976</x:v>
      </x:c>
      <x:c r="Q33" s="20" t="n">
        <x:v>2020.6535947712418</x:v>
      </x:c>
      <x:c r="R33" s="20" t="n">
        <x:v>2020.65</x:v>
      </x:c>
      <x:c r="S33" s="18" t="n">
        <x:v>46057</x:v>
      </x:c>
      <x:c r="T33" s="20" t="n">
        <x:v>0</x:v>
      </x:c>
      <x:c r="U33" t="str">
        <x:v>Ödendi</x:v>
      </x:c>
    </x:row>
    <x:row r="34">
      <x:c r="A34" s="22" t="n">
        <x:v>46082</x:v>
      </x:c>
      <x:c r="B34" s="22" t="n">
        <x:v>46054</x:v>
      </x:c>
      <x:c r="C34" t="str">
        <x:v>B001-R005</x:v>
      </x:c>
      <x:c r="D34" t="n">
        <x:v>5</x:v>
      </x:c>
      <x:c r="E34" t="str">
        <x:v>Emre Çelik</x:v>
      </x:c>
      <x:c r="F34" s="20" t="n">
        <x:v>266.078431372549</x:v>
      </x:c>
      <x:c r="G34" s="20" t="n">
        <x:v>142.6797385620915</x:v>
      </x:c>
      <x:c r="H34" s="20" t="n">
        <x:v>323.921568627451</x:v>
      </x:c>
      <x:c r="I34" s="20" t="n">
        <x:v>370.19607843137254</x:v>
      </x:c>
      <x:c r="J34" s="20" t="n">
        <x:v>0</x:v>
      </x:c>
      <x:c r="K34" s="20" t="n">
        <x:v>647.843137254902</x:v>
      </x:c>
      <x:c r="L34" s="20" t="n">
        <x:v>0</x:v>
      </x:c>
      <x:c r="M34" s="20" t="n">
        <x:v>0</x:v>
      </x:c>
      <x:c r="N34" s="20" t="n">
        <x:v>0</x:v>
      </x:c>
      <x:c r="O34" s="20" t="n">
        <x:v>0</x:v>
      </x:c>
      <x:c r="P34" s="20" t="n">
        <x:v>385.62091503267976</x:v>
      </x:c>
      <x:c r="Q34" s="20" t="n">
        <x:v>2136.3398692810456</x:v>
      </x:c>
      <x:c r="R34" s="20" t="n">
        <x:v>2136.34</x:v>
      </x:c>
      <x:c r="S34" s="18" t="n">
        <x:v>46087</x:v>
      </x:c>
      <x:c r="T34" s="20" t="n">
        <x:v>0</x:v>
      </x:c>
      <x:c r="U34" t="str">
        <x:v>Ödendi</x:v>
      </x:c>
    </x:row>
    <x:row r="35">
      <x:c r="A35" s="22" t="n">
        <x:v>46113</x:v>
      </x:c>
      <x:c r="B35" s="22" t="n">
        <x:v>46082</x:v>
      </x:c>
      <x:c r="C35" t="str">
        <x:v>B001-R005</x:v>
      </x:c>
      <x:c r="D35" t="n">
        <x:v>5</x:v>
      </x:c>
      <x:c r="E35" t="str">
        <x:v>Emre Çelik</x:v>
      </x:c>
      <x:c r="F35" s="20" t="n">
        <x:v>243.7124183006536</x:v>
      </x:c>
      <x:c r="G35" s="20" t="n">
        <x:v>137.281045751634</x:v>
      </x:c>
      <x:c r="H35" s="20" t="n">
        <x:v>323.921568627451</x:v>
      </x:c>
      <x:c r="I35" s="20" t="n">
        <x:v>0</x:v>
      </x:c>
      <x:c r="J35" s="20" t="n">
        <x:v>0</x:v>
      </x:c>
      <x:c r="K35" s="20" t="n">
        <x:v>0</x:v>
      </x:c>
      <x:c r="L35" s="20" t="n">
        <x:v>462.7450980392157</x:v>
      </x:c>
      <x:c r="M35" s="20" t="n">
        <x:v>0</x:v>
      </x:c>
      <x:c r="N35" s="20" t="n">
        <x:v>586.1437908496732</x:v>
      </x:c>
      <x:c r="O35" s="20" t="n">
        <x:v>0</x:v>
      </x:c>
      <x:c r="P35" s="20" t="n">
        <x:v>385.62091503267976</x:v>
      </x:c>
      <x:c r="Q35" s="20" t="n">
        <x:v>2139.424836601307</x:v>
      </x:c>
      <x:c r="R35" s="20" t="n">
        <x:v>2139.42</x:v>
      </x:c>
      <x:c r="S35" s="18" t="n">
        <x:v>46122</x:v>
      </x:c>
      <x:c r="T35" s="20" t="n">
        <x:v>0</x:v>
      </x:c>
      <x:c r="U35" t="str">
        <x:v>Ödendi</x:v>
      </x:c>
    </x:row>
    <x:row r="36">
      <x:c r="A36" s="22" t="n">
        <x:v>46143</x:v>
      </x:c>
      <x:c r="B36" s="22" t="n">
        <x:v>46113</x:v>
      </x:c>
      <x:c r="C36" t="str">
        <x:v>B001-R005</x:v>
      </x:c>
      <x:c r="D36" t="n">
        <x:v>5</x:v>
      </x:c>
      <x:c r="E36" t="str">
        <x:v>Emre Çelik</x:v>
      </x:c>
      <x:c r="F36" s="20" t="n">
        <x:v>260.67973856209153</x:v>
      </x:c>
      <x:c r="G36" s="20" t="n">
        <x:v>140.36601307189542</x:v>
      </x:c>
      <x:c r="H36" s="20" t="n">
        <x:v>339.34640522875816</x:v>
      </x:c>
      <x:c r="I36" s="20" t="n">
        <x:v>0</x:v>
      </x:c>
      <x:c r="J36" s="20" t="n">
        <x:v>956.3398692810458</x:v>
      </x:c>
      <x:c r="K36" s="20" t="n">
        <x:v>0</x:v>
      </x:c>
      <x:c r="L36" s="20" t="n">
        <x:v>0</x:v>
      </x:c>
      <x:c r="M36" s="20" t="n">
        <x:v>401.0457516339869</x:v>
      </x:c>
      <x:c r="N36" s="20" t="n">
        <x:v>0</x:v>
      </x:c>
      <x:c r="O36" s="20" t="n">
        <x:v>0</x:v>
      </x:c>
      <x:c r="P36" s="20" t="n">
        <x:v>385.62091503267976</x:v>
      </x:c>
      <x:c r="Q36" s="20" t="n">
        <x:v>2483.3986928104578</x:v>
      </x:c>
      <x:c r="R36" s="20" t="n">
        <x:v>2483.4</x:v>
      </x:c>
      <x:c r="S36" s="18" t="n">
        <x:v>46151</x:v>
      </x:c>
      <x:c r="T36" s="20" t="n">
        <x:v>0</x:v>
      </x:c>
      <x:c r="U36" t="str">
        <x:v>Ödendi</x:v>
      </x:c>
    </x:row>
    <x:row r="37">
      <x:c r="A37" s="22" t="n">
        <x:v>46174</x:v>
      </x:c>
      <x:c r="B37" s="22" t="n">
        <x:v>46143</x:v>
      </x:c>
      <x:c r="C37" t="str">
        <x:v>B001-R005</x:v>
      </x:c>
      <x:c r="D37" t="n">
        <x:v>5</x:v>
      </x:c>
      <x:c r="E37" t="str">
        <x:v>Emre Çelik</x:v>
      </x:c>
      <x:c r="F37" s="20" t="n">
        <x:v>279.18954248366015</x:v>
      </x:c>
      <x:c r="G37" s="20" t="n">
        <x:v>151.16339869281046</x:v>
      </x:c>
      <x:c r="H37" s="20" t="n">
        <x:v>339.34640522875816</x:v>
      </x:c>
      <x:c r="I37" s="20" t="n">
        <x:v>555.2941176470589</x:v>
      </x:c>
      <x:c r="J37" s="20" t="n">
        <x:v>0</x:v>
      </x:c>
      <x:c r="K37" s="20" t="n">
        <x:v>0</x:v>
      </x:c>
      <x:c r="L37" s="20" t="n">
        <x:v>462.7450980392157</x:v>
      </x:c>
      <x:c r="M37" s="20" t="n">
        <x:v>0</x:v>
      </x:c>
      <x:c r="N37" s="20" t="n">
        <x:v>0</x:v>
      </x:c>
      <x:c r="O37" s="20" t="n">
        <x:v>0</x:v>
      </x:c>
      <x:c r="P37" s="20" t="n">
        <x:v>385.62091503267976</x:v>
      </x:c>
      <x:c r="Q37" s="20" t="n">
        <x:v>2173.3594771241833</x:v>
      </x:c>
      <x:c r="R37" s="20" t="n">
        <x:v>2173.36</x:v>
      </x:c>
      <x:c r="S37" s="18" t="n">
        <x:v>46181</x:v>
      </x:c>
      <x:c r="T37" s="20" t="n">
        <x:v>0</x:v>
      </x:c>
      <x:c r="U37" t="str">
        <x:v>Ödendi</x:v>
      </x:c>
    </x:row>
    <x:row r="38">
      <x:c r="A38" s="22" t="n">
        <x:v>46204</x:v>
      </x:c>
      <x:c r="B38" s="22" t="n">
        <x:v>46174</x:v>
      </x:c>
      <x:c r="C38" t="str">
        <x:v>B001-R005</x:v>
      </x:c>
      <x:c r="D38" t="n">
        <x:v>5</x:v>
      </x:c>
      <x:c r="E38" t="str">
        <x:v>Emre Çelik</x:v>
      </x:c>
      <x:c r="F38" s="20" t="n">
        <x:v>299.24183006535947</x:v>
      </x:c>
      <x:c r="G38" s="20" t="n">
        <x:v>157.33333333333334</x:v>
      </x:c>
      <x:c r="H38" s="20" t="n">
        <x:v>339.34640522875816</x:v>
      </x:c>
      <x:c r="I38" s="20" t="n">
        <x:v>0</x:v>
      </x:c>
      <x:c r="J38" s="20" t="n">
        <x:v>0</x:v>
      </x:c>
      <x:c r="K38" s="20" t="n">
        <x:v>0</x:v>
      </x:c>
      <x:c r="L38" s="20" t="n">
        <x:v>493.5947712418301</x:v>
      </x:c>
      <x:c r="M38" s="20" t="n">
        <x:v>0</x:v>
      </x:c>
      <x:c r="N38" s="20" t="n">
        <x:v>0</x:v>
      </x:c>
      <x:c r="O38" s="20" t="n">
        <x:v>2699.346405228758</x:v>
      </x:c>
      <x:c r="P38" s="20" t="n">
        <x:v>385.62091503267976</x:v>
      </x:c>
      <x:c r="Q38" s="20" t="n">
        <x:v>4374.483660130719</x:v>
      </x:c>
      <x:c r="R38" s="20" t="n">
        <x:v>0</x:v>
      </x:c>
      <x:c r="S38" s="18"/>
      <x:c r="T38" s="20" t="n">
        <x:v>4374.48</x:v>
      </x:c>
      <x:c r="U38" t="str">
        <x:v>Ödenmedi</x:v>
      </x:c>
    </x:row>
    <x:row r="39">
      <x:c r="A39" s="22" t="n">
        <x:v>46023</x:v>
      </x:c>
      <x:c r="B39" s="22" t="n">
        <x:v>45992</x:v>
      </x:c>
      <x:c r="C39" t="str">
        <x:v>B001-R006</x:v>
      </x:c>
      <x:c r="D39" t="n">
        <x:v>6</x:v>
      </x:c>
      <x:c r="E39" t="str">
        <x:v>Selin Aydın</x:v>
      </x:c>
      <x:c r="F39" s="20" t="n">
        <x:v>267.45098039215685</x:v>
      </x:c>
      <x:c r="G39" s="20" t="n">
        <x:v>141.49019607843138</x:v>
      </x:c>
      <x:c r="H39" s="20" t="n">
        <x:v>362.3529411764706</x:v>
      </x:c>
      <x:c r="I39" s="20" t="n">
        <x:v>310.5882352941176</x:v>
      </x:c>
      <x:c r="J39" s="20" t="n">
        <x:v>0</x:v>
      </x:c>
      <x:c r="K39" s="20" t="n">
        <x:v>0</x:v>
      </x:c>
      <x:c r="L39" s="20" t="n">
        <x:v>483.1372549019608</x:v>
      </x:c>
      <x:c r="M39" s="20" t="n">
        <x:v>0</x:v>
      </x:c>
      <x:c r="N39" s="20" t="n">
        <x:v>0</x:v>
      </x:c>
      <x:c r="O39" s="20" t="n">
        <x:v>0</x:v>
      </x:c>
      <x:c r="P39" s="20" t="n">
        <x:v>431.37254901960785</x:v>
      </x:c>
      <x:c r="Q39" s="20" t="n">
        <x:v>1996.3921568627452</x:v>
      </x:c>
      <x:c r="R39" s="20" t="n">
        <x:v>1996.39</x:v>
      </x:c>
      <x:c r="S39" s="18" t="n">
        <x:v>46028</x:v>
      </x:c>
      <x:c r="T39" s="20" t="n">
        <x:v>0</x:v>
      </x:c>
      <x:c r="U39" t="str">
        <x:v>Ödendi</x:v>
      </x:c>
    </x:row>
    <x:row r="40">
      <x:c r="A40" s="22" t="n">
        <x:v>46054</x:v>
      </x:c>
      <x:c r="B40" s="22" t="n">
        <x:v>46023</x:v>
      </x:c>
      <x:c r="C40" t="str">
        <x:v>B001-R006</x:v>
      </x:c>
      <x:c r="D40" t="n">
        <x:v>6</x:v>
      </x:c>
      <x:c r="E40" t="str">
        <x:v>Selin Aydın</x:v>
      </x:c>
      <x:c r="F40" s="20" t="n">
        <x:v>284.70588235294116</x:v>
      </x:c>
      <x:c r="G40" s="20" t="n">
        <x:v>146.66666666666666</x:v>
      </x:c>
      <x:c r="H40" s="20" t="n">
        <x:v>362.3529411764706</x:v>
      </x:c>
      <x:c r="I40" s="20" t="n">
        <x:v>0</x:v>
      </x:c>
      <x:c r="J40" s="20" t="n">
        <x:v>552.156862745098</x:v>
      </x:c>
      <x:c r="K40" s="20" t="n">
        <x:v>0</x:v>
      </x:c>
      <x:c r="L40" s="20" t="n">
        <x:v>483.1372549019608</x:v>
      </x:c>
      <x:c r="M40" s="20" t="n">
        <x:v>0</x:v>
      </x:c>
      <x:c r="N40" s="20" t="n">
        <x:v>0</x:v>
      </x:c>
      <x:c r="O40" s="20" t="n">
        <x:v>0</x:v>
      </x:c>
      <x:c r="P40" s="20" t="n">
        <x:v>431.37254901960785</x:v>
      </x:c>
      <x:c r="Q40" s="20" t="n">
        <x:v>2260.392156862745</x:v>
      </x:c>
      <x:c r="R40" s="20" t="n">
        <x:v>2260.39</x:v>
      </x:c>
      <x:c r="S40" s="18" t="n">
        <x:v>46060</x:v>
      </x:c>
      <x:c r="T40" s="20" t="n">
        <x:v>0</x:v>
      </x:c>
      <x:c r="U40" t="str">
        <x:v>Ödendi</x:v>
      </x:c>
    </x:row>
    <x:row r="41">
      <x:c r="A41" s="22" t="n">
        <x:v>46082</x:v>
      </x:c>
      <x:c r="B41" s="22" t="n">
        <x:v>46054</x:v>
      </x:c>
      <x:c r="C41" t="str">
        <x:v>B001-R006</x:v>
      </x:c>
      <x:c r="D41" t="n">
        <x:v>6</x:v>
      </x:c>
      <x:c r="E41" t="str">
        <x:v>Selin Aydın</x:v>
      </x:c>
      <x:c r="F41" s="20" t="n">
        <x:v>297.6470588235294</x:v>
      </x:c>
      <x:c r="G41" s="20" t="n">
        <x:v>159.6078431372549</x:v>
      </x:c>
      <x:c r="H41" s="20" t="n">
        <x:v>362.3529411764706</x:v>
      </x:c>
      <x:c r="I41" s="20" t="n">
        <x:v>414.11764705882354</x:v>
      </x:c>
      <x:c r="J41" s="20" t="n">
        <x:v>0</x:v>
      </x:c>
      <x:c r="K41" s="20" t="n">
        <x:v>724.7058823529412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431.37254901960785</x:v>
      </x:c>
      <x:c r="Q41" s="20" t="n">
        <x:v>2389.8039215686276</x:v>
      </x:c>
      <x:c r="R41" s="20" t="n">
        <x:v>0</x:v>
      </x:c>
      <x:c r="S41" s="18"/>
      <x:c r="T41" s="20" t="n">
        <x:v>2389.8</x:v>
      </x:c>
      <x:c r="U41" t="str">
        <x:v>Ödenmedi</x:v>
      </x:c>
    </x:row>
    <x:row r="42">
      <x:c r="A42" s="22" t="n">
        <x:v>46113</x:v>
      </x:c>
      <x:c r="B42" s="22" t="n">
        <x:v>46082</x:v>
      </x:c>
      <x:c r="C42" t="str">
        <x:v>B001-R006</x:v>
      </x:c>
      <x:c r="D42" t="n">
        <x:v>6</x:v>
      </x:c>
      <x:c r="E42" t="str">
        <x:v>Selin Aydın</x:v>
      </x:c>
      <x:c r="F42" s="20" t="n">
        <x:v>272.62745098039215</x:v>
      </x:c>
      <x:c r="G42" s="20" t="n">
        <x:v>153.5686274509804</x:v>
      </x:c>
      <x:c r="H42" s="20" t="n">
        <x:v>362.3529411764706</x:v>
      </x:c>
      <x:c r="I42" s="20" t="n">
        <x:v>0</x:v>
      </x:c>
      <x:c r="J42" s="20" t="n">
        <x:v>0</x:v>
      </x:c>
      <x:c r="K42" s="20" t="n">
        <x:v>0</x:v>
      </x:c>
      <x:c r="L42" s="20" t="n">
        <x:v>517.6470588235294</x:v>
      </x:c>
      <x:c r="M42" s="20" t="n">
        <x:v>0</x:v>
      </x:c>
      <x:c r="N42" s="20" t="n">
        <x:v>655.6862745098039</x:v>
      </x:c>
      <x:c r="O42" s="20" t="n">
        <x:v>0</x:v>
      </x:c>
      <x:c r="P42" s="20" t="n">
        <x:v>431.37254901960785</x:v>
      </x:c>
      <x:c r="Q42" s="20" t="n">
        <x:v>2393.254901960784</x:v>
      </x:c>
      <x:c r="R42" s="20" t="n">
        <x:v>2393.25</x:v>
      </x:c>
      <x:c r="S42" s="18" t="n">
        <x:v>46121</x:v>
      </x:c>
      <x:c r="T42" s="20" t="n">
        <x:v>0</x:v>
      </x:c>
      <x:c r="U42" t="str">
        <x:v>Ödendi</x:v>
      </x:c>
    </x:row>
    <x:row r="43">
      <x:c r="A43" s="22" t="n">
        <x:v>46143</x:v>
      </x:c>
      <x:c r="B43" s="22" t="n">
        <x:v>46113</x:v>
      </x:c>
      <x:c r="C43" t="str">
        <x:v>B001-R006</x:v>
      </x:c>
      <x:c r="D43" t="n">
        <x:v>6</x:v>
      </x:c>
      <x:c r="E43" t="str">
        <x:v>Selin Aydın</x:v>
      </x:c>
      <x:c r="F43" s="20" t="n">
        <x:v>291.6078431372549</x:v>
      </x:c>
      <x:c r="G43" s="20" t="n">
        <x:v>157.01960784313727</x:v>
      </x:c>
      <x:c r="H43" s="20" t="n">
        <x:v>379.6078431372549</x:v>
      </x:c>
      <x:c r="I43" s="20" t="n">
        <x:v>0</x:v>
      </x:c>
      <x:c r="J43" s="20" t="n">
        <x:v>1069.8039215686274</x:v>
      </x:c>
      <x:c r="K43" s="20" t="n">
        <x:v>0</x:v>
      </x:c>
      <x:c r="L43" s="20" t="n">
        <x:v>0</x:v>
      </x:c>
      <x:c r="M43" s="20" t="n">
        <x:v>448.62745098039215</x:v>
      </x:c>
      <x:c r="N43" s="20" t="n">
        <x:v>0</x:v>
      </x:c>
      <x:c r="O43" s="20" t="n">
        <x:v>0</x:v>
      </x:c>
      <x:c r="P43" s="20" t="n">
        <x:v>431.37254901960785</x:v>
      </x:c>
      <x:c r="Q43" s="20" t="n">
        <x:v>2778.0392156862745</x:v>
      </x:c>
      <x:c r="R43" s="20" t="n">
        <x:v>2778.04</x:v>
      </x:c>
      <x:c r="S43" s="18" t="n">
        <x:v>46147</x:v>
      </x:c>
      <x:c r="T43" s="20" t="n">
        <x:v>0</x:v>
      </x:c>
      <x:c r="U43" t="str">
        <x:v>Ödendi</x:v>
      </x:c>
    </x:row>
    <x:row r="44">
      <x:c r="A44" s="22" t="n">
        <x:v>46174</x:v>
      </x:c>
      <x:c r="B44" s="22" t="n">
        <x:v>46143</x:v>
      </x:c>
      <x:c r="C44" t="str">
        <x:v>B001-R006</x:v>
      </x:c>
      <x:c r="D44" t="n">
        <x:v>6</x:v>
      </x:c>
      <x:c r="E44" t="str">
        <x:v>Selin Aydın</x:v>
      </x:c>
      <x:c r="F44" s="20" t="n">
        <x:v>312.3137254901961</x:v>
      </x:c>
      <x:c r="G44" s="20" t="n">
        <x:v>169.09803921568627</x:v>
      </x:c>
      <x:c r="H44" s="20" t="n">
        <x:v>379.6078431372549</x:v>
      </x:c>
      <x:c r="I44" s="20" t="n">
        <x:v>621.1764705882352</x:v>
      </x:c>
      <x:c r="J44" s="20" t="n">
        <x:v>0</x:v>
      </x:c>
      <x:c r="K44" s="20" t="n">
        <x:v>0</x:v>
      </x:c>
      <x:c r="L44" s="20" t="n">
        <x:v>517.6470588235294</x:v>
      </x:c>
      <x:c r="M44" s="20" t="n">
        <x:v>0</x:v>
      </x:c>
      <x:c r="N44" s="20" t="n">
        <x:v>0</x:v>
      </x:c>
      <x:c r="O44" s="20" t="n">
        <x:v>0</x:v>
      </x:c>
      <x:c r="P44" s="20" t="n">
        <x:v>431.37254901960785</x:v>
      </x:c>
      <x:c r="Q44" s="20" t="n">
        <x:v>2431.2156862745096</x:v>
      </x:c>
      <x:c r="R44" s="20" t="n">
        <x:v>2431.22</x:v>
      </x:c>
      <x:c r="S44" s="18" t="n">
        <x:v>46178</x:v>
      </x:c>
      <x:c r="T44" s="20" t="n">
        <x:v>0</x:v>
      </x:c>
      <x:c r="U44" t="str">
        <x:v>Ödendi</x:v>
      </x:c>
    </x:row>
    <x:row r="45">
      <x:c r="A45" s="22" t="n">
        <x:v>46204</x:v>
      </x:c>
      <x:c r="B45" s="22" t="n">
        <x:v>46174</x:v>
      </x:c>
      <x:c r="C45" t="str">
        <x:v>B001-R006</x:v>
      </x:c>
      <x:c r="D45" t="n">
        <x:v>6</x:v>
      </x:c>
      <x:c r="E45" t="str">
        <x:v>Selin Aydın</x:v>
      </x:c>
      <x:c r="F45" s="20" t="n">
        <x:v>334.7450980392157</x:v>
      </x:c>
      <x:c r="G45" s="20" t="n">
        <x:v>176</x:v>
      </x:c>
      <x:c r="H45" s="20" t="n">
        <x:v>379.6078431372549</x:v>
      </x:c>
      <x:c r="I45" s="20" t="n">
        <x:v>0</x:v>
      </x:c>
      <x:c r="J45" s="20" t="n">
        <x:v>0</x:v>
      </x:c>
      <x:c r="K45" s="20" t="n">
        <x:v>0</x:v>
      </x:c>
      <x:c r="L45" s="20" t="n">
        <x:v>552.156862745098</x:v>
      </x:c>
      <x:c r="M45" s="20" t="n">
        <x:v>0</x:v>
      </x:c>
      <x:c r="N45" s="20" t="n">
        <x:v>0</x:v>
      </x:c>
      <x:c r="O45" s="20" t="n">
        <x:v>3019.607843137255</x:v>
      </x:c>
      <x:c r="P45" s="20" t="n">
        <x:v>431.37254901960785</x:v>
      </x:c>
      <x:c r="Q45" s="20" t="n">
        <x:v>4893.490196078431</x:v>
      </x:c>
      <x:c r="R45" s="20" t="n">
        <x:v>4893.49</x:v>
      </x:c>
      <x:c r="S45" s="18" t="n">
        <x:v>46213</x:v>
      </x:c>
      <x:c r="T45" s="20" t="n">
        <x:v>0</x:v>
      </x:c>
      <x:c r="U45" t="str">
        <x:v>Ödendi</x:v>
      </x:c>
    </x:row>
    <x:row r="46">
      <x:c r="A46" s="22" t="n">
        <x:v>46023</x:v>
      </x:c>
      <x:c r="B46" s="22" t="n">
        <x:v>45992</x:v>
      </x:c>
      <x:c r="C46" t="str">
        <x:v>B001-R007</x:v>
      </x:c>
      <x:c r="D46" t="n">
        <x:v>7</x:v>
      </x:c>
      <x:c r="E46" t="str">
        <x:v>Cem Arslan</x:v>
      </x:c>
      <x:c r="F46" s="20" t="n">
        <x:v>320.1307189542483</x:v>
      </x:c>
      <x:c r="G46" s="20" t="n">
        <x:v>169.359477124183</x:v>
      </x:c>
      <x:c r="H46" s="20" t="n">
        <x:v>433.7254901960784</x:v>
      </x:c>
      <x:c r="I46" s="20" t="n">
        <x:v>371.7647058823529</x:v>
      </x:c>
      <x:c r="J46" s="20" t="n">
        <x:v>0</x:v>
      </x:c>
      <x:c r="K46" s="20" t="n">
        <x:v>0</x:v>
      </x:c>
      <x:c r="L46" s="20" t="n">
        <x:v>578.3006535947712</x:v>
      </x:c>
      <x:c r="M46" s="20" t="n">
        <x:v>0</x:v>
      </x:c>
      <x:c r="N46" s="20" t="n">
        <x:v>0</x:v>
      </x:c>
      <x:c r="O46" s="20" t="n">
        <x:v>0</x:v>
      </x:c>
      <x:c r="P46" s="20" t="n">
        <x:v>516.3398692810457</x:v>
      </x:c>
      <x:c r="Q46" s="20" t="n">
        <x:v>2389.6209150326795</x:v>
      </x:c>
      <x:c r="R46" s="20" t="n">
        <x:v>2389.62</x:v>
      </x:c>
      <x:c r="S46" s="18" t="n">
        <x:v>46027</x:v>
      </x:c>
      <x:c r="T46" s="20" t="n">
        <x:v>0</x:v>
      </x:c>
      <x:c r="U46" t="str">
        <x:v>Ödendi</x:v>
      </x:c>
    </x:row>
    <x:row r="47">
      <x:c r="A47" s="22" t="n">
        <x:v>46054</x:v>
      </x:c>
      <x:c r="B47" s="22" t="n">
        <x:v>46023</x:v>
      </x:c>
      <x:c r="C47" t="str">
        <x:v>B001-R007</x:v>
      </x:c>
      <x:c r="D47" t="n">
        <x:v>7</x:v>
      </x:c>
      <x:c r="E47" t="str">
        <x:v>Cem Arslan</x:v>
      </x:c>
      <x:c r="F47" s="20" t="n">
        <x:v>340.78431372549016</x:v>
      </x:c>
      <x:c r="G47" s="20" t="n">
        <x:v>175.55555555555554</x:v>
      </x:c>
      <x:c r="H47" s="20" t="n">
        <x:v>433.7254901960784</x:v>
      </x:c>
      <x:c r="I47" s="20" t="n">
        <x:v>0</x:v>
      </x:c>
      <x:c r="J47" s="20" t="n">
        <x:v>660.9150326797385</x:v>
      </x:c>
      <x:c r="K47" s="20" t="n">
        <x:v>0</x:v>
      </x:c>
      <x:c r="L47" s="20" t="n">
        <x:v>578.3006535947712</x:v>
      </x:c>
      <x:c r="M47" s="20" t="n">
        <x:v>0</x:v>
      </x:c>
      <x:c r="N47" s="20" t="n">
        <x:v>0</x:v>
      </x:c>
      <x:c r="O47" s="20" t="n">
        <x:v>0</x:v>
      </x:c>
      <x:c r="P47" s="20" t="n">
        <x:v>516.3398692810457</x:v>
      </x:c>
      <x:c r="Q47" s="20" t="n">
        <x:v>2705.6209150326795</x:v>
      </x:c>
      <x:c r="R47" s="20" t="n">
        <x:v>2705.62</x:v>
      </x:c>
      <x:c r="S47" s="18" t="n">
        <x:v>46062</x:v>
      </x:c>
      <x:c r="T47" s="20" t="n">
        <x:v>0</x:v>
      </x:c>
      <x:c r="U47" t="str">
        <x:v>Ödendi</x:v>
      </x:c>
    </x:row>
    <x:row r="48">
      <x:c r="A48" s="22" t="n">
        <x:v>46082</x:v>
      </x:c>
      <x:c r="B48" s="22" t="n">
        <x:v>46054</x:v>
      </x:c>
      <x:c r="C48" t="str">
        <x:v>B001-R007</x:v>
      </x:c>
      <x:c r="D48" t="n">
        <x:v>7</x:v>
      </x:c>
      <x:c r="E48" t="str">
        <x:v>Cem Arslan</x:v>
      </x:c>
      <x:c r="F48" s="20" t="n">
        <x:v>356.27450980392155</x:v>
      </x:c>
      <x:c r="G48" s="20" t="n">
        <x:v>191.04575163398692</x:v>
      </x:c>
      <x:c r="H48" s="20" t="n">
        <x:v>433.7254901960784</x:v>
      </x:c>
      <x:c r="I48" s="20" t="n">
        <x:v>495.68627450980387</x:v>
      </x:c>
      <x:c r="J48" s="20" t="n">
        <x:v>0</x:v>
      </x:c>
      <x:c r="K48" s="20" t="n">
        <x:v>867.4509803921568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516.3398692810457</x:v>
      </x:c>
      <x:c r="Q48" s="20" t="n">
        <x:v>2860.5228758169933</x:v>
      </x:c>
      <x:c r="R48" s="20" t="n">
        <x:v>2860.52</x:v>
      </x:c>
      <x:c r="S48" s="18" t="n">
        <x:v>46090</x:v>
      </x:c>
      <x:c r="T48" s="20" t="n">
        <x:v>0</x:v>
      </x:c>
      <x:c r="U48" t="str">
        <x:v>Ödendi</x:v>
      </x:c>
    </x:row>
    <x:row r="49">
      <x:c r="A49" s="22" t="n">
        <x:v>46113</x:v>
      </x:c>
      <x:c r="B49" s="22" t="n">
        <x:v>46082</x:v>
      </x:c>
      <x:c r="C49" t="str">
        <x:v>B001-R007</x:v>
      </x:c>
      <x:c r="D49" t="n">
        <x:v>7</x:v>
      </x:c>
      <x:c r="E49" t="str">
        <x:v>Cem Arslan</x:v>
      </x:c>
      <x:c r="F49" s="20" t="n">
        <x:v>326.3267973856209</x:v>
      </x:c>
      <x:c r="G49" s="20" t="n">
        <x:v>183.81699346405227</x:v>
      </x:c>
      <x:c r="H49" s="20" t="n">
        <x:v>433.7254901960784</x:v>
      </x:c>
      <x:c r="I49" s="20" t="n">
        <x:v>0</x:v>
      </x:c>
      <x:c r="J49" s="20" t="n">
        <x:v>0</x:v>
      </x:c>
      <x:c r="K49" s="20" t="n">
        <x:v>0</x:v>
      </x:c>
      <x:c r="L49" s="20" t="n">
        <x:v>619.6078431372549</x:v>
      </x:c>
      <x:c r="M49" s="20" t="n">
        <x:v>0</x:v>
      </x:c>
      <x:c r="N49" s="20" t="n">
        <x:v>784.8366013071895</x:v>
      </x:c>
      <x:c r="O49" s="20" t="n">
        <x:v>0</x:v>
      </x:c>
      <x:c r="P49" s="20" t="n">
        <x:v>516.3398692810457</x:v>
      </x:c>
      <x:c r="Q49" s="20" t="n">
        <x:v>2864.653594771242</x:v>
      </x:c>
      <x:c r="R49" s="20" t="n">
        <x:v>2864.65</x:v>
      </x:c>
      <x:c r="S49" s="18" t="n">
        <x:v>46125</x:v>
      </x:c>
      <x:c r="T49" s="20" t="n">
        <x:v>0</x:v>
      </x:c>
      <x:c r="U49" t="str">
        <x:v>Ödendi</x:v>
      </x:c>
    </x:row>
    <x:row r="50">
      <x:c r="A50" s="22" t="n">
        <x:v>46143</x:v>
      </x:c>
      <x:c r="B50" s="22" t="n">
        <x:v>46113</x:v>
      </x:c>
      <x:c r="C50" t="str">
        <x:v>B001-R007</x:v>
      </x:c>
      <x:c r="D50" t="n">
        <x:v>7</x:v>
      </x:c>
      <x:c r="E50" t="str">
        <x:v>Cem Arslan</x:v>
      </x:c>
      <x:c r="F50" s="20" t="n">
        <x:v>349.0457516339869</x:v>
      </x:c>
      <x:c r="G50" s="20" t="n">
        <x:v>187.94771241830065</x:v>
      </x:c>
      <x:c r="H50" s="20" t="n">
        <x:v>454.37908496732024</x:v>
      </x:c>
      <x:c r="I50" s="20" t="n">
        <x:v>0</x:v>
      </x:c>
      <x:c r="J50" s="20" t="n">
        <x:v>1280.5228758169933</x:v>
      </x:c>
      <x:c r="K50" s="20" t="n">
        <x:v>0</x:v>
      </x:c>
      <x:c r="L50" s="20" t="n">
        <x:v>0</x:v>
      </x:c>
      <x:c r="M50" s="20" t="n">
        <x:v>536.9934640522875</x:v>
      </x:c>
      <x:c r="N50" s="20" t="n">
        <x:v>0</x:v>
      </x:c>
      <x:c r="O50" s="20" t="n">
        <x:v>0</x:v>
      </x:c>
      <x:c r="P50" s="20" t="n">
        <x:v>516.3398692810457</x:v>
      </x:c>
      <x:c r="Q50" s="20" t="n">
        <x:v>3325.2287581699343</x:v>
      </x:c>
      <x:c r="R50" s="20" t="n">
        <x:v>3325.23</x:v>
      </x:c>
      <x:c r="S50" s="18" t="n">
        <x:v>46150</x:v>
      </x:c>
      <x:c r="T50" s="20" t="n">
        <x:v>0</x:v>
      </x:c>
      <x:c r="U50" t="str">
        <x:v>Ödendi</x:v>
      </x:c>
    </x:row>
    <x:row r="51">
      <x:c r="A51" s="22" t="n">
        <x:v>46174</x:v>
      </x:c>
      <x:c r="B51" s="22" t="n">
        <x:v>46143</x:v>
      </x:c>
      <x:c r="C51" t="str">
        <x:v>B001-R007</x:v>
      </x:c>
      <x:c r="D51" t="n">
        <x:v>7</x:v>
      </x:c>
      <x:c r="E51" t="str">
        <x:v>Cem Arslan</x:v>
      </x:c>
      <x:c r="F51" s="20" t="n">
        <x:v>373.8300653594771</x:v>
      </x:c>
      <x:c r="G51" s="20" t="n">
        <x:v>202.40522875816993</x:v>
      </x:c>
      <x:c r="H51" s="20" t="n">
        <x:v>454.37908496732024</x:v>
      </x:c>
      <x:c r="I51" s="20" t="n">
        <x:v>743.5294117647059</x:v>
      </x:c>
      <x:c r="J51" s="20" t="n">
        <x:v>0</x:v>
      </x:c>
      <x:c r="K51" s="20" t="n">
        <x:v>0</x:v>
      </x:c>
      <x:c r="L51" s="20" t="n">
        <x:v>619.6078431372549</x:v>
      </x:c>
      <x:c r="M51" s="20" t="n">
        <x:v>0</x:v>
      </x:c>
      <x:c r="N51" s="20" t="n">
        <x:v>0</x:v>
      </x:c>
      <x:c r="O51" s="20" t="n">
        <x:v>0</x:v>
      </x:c>
      <x:c r="P51" s="20" t="n">
        <x:v>516.3398692810457</x:v>
      </x:c>
      <x:c r="Q51" s="20" t="n">
        <x:v>2910.0915032679736</x:v>
      </x:c>
      <x:c r="R51" s="20" t="n">
        <x:v>2910.09</x:v>
      </x:c>
      <x:c r="S51" s="18" t="n">
        <x:v>46177</x:v>
      </x:c>
      <x:c r="T51" s="20" t="n">
        <x:v>0</x:v>
      </x:c>
      <x:c r="U51" t="str">
        <x:v>Ödendi</x:v>
      </x:c>
    </x:row>
    <x:row r="52">
      <x:c r="A52" s="22" t="n">
        <x:v>46204</x:v>
      </x:c>
      <x:c r="B52" s="22" t="n">
        <x:v>46174</x:v>
      </x:c>
      <x:c r="C52" t="str">
        <x:v>B001-R007</x:v>
      </x:c>
      <x:c r="D52" t="n">
        <x:v>7</x:v>
      </x:c>
      <x:c r="E52" t="str">
        <x:v>Cem Arslan</x:v>
      </x:c>
      <x:c r="F52" s="20" t="n">
        <x:v>400.6797385620915</x:v>
      </x:c>
      <x:c r="G52" s="20" t="n">
        <x:v>210.66666666666666</x:v>
      </x:c>
      <x:c r="H52" s="20" t="n">
        <x:v>454.37908496732024</x:v>
      </x:c>
      <x:c r="I52" s="20" t="n">
        <x:v>0</x:v>
      </x:c>
      <x:c r="J52" s="20" t="n">
        <x:v>0</x:v>
      </x:c>
      <x:c r="K52" s="20" t="n">
        <x:v>0</x:v>
      </x:c>
      <x:c r="L52" s="20" t="n">
        <x:v>660.9150326797385</x:v>
      </x:c>
      <x:c r="M52" s="20" t="n">
        <x:v>0</x:v>
      </x:c>
      <x:c r="N52" s="20" t="n">
        <x:v>0</x:v>
      </x:c>
      <x:c r="O52" s="20" t="n">
        <x:v>3614.37908496732</x:v>
      </x:c>
      <x:c r="P52" s="20" t="n">
        <x:v>516.3398692810457</x:v>
      </x:c>
      <x:c r="Q52" s="20" t="n">
        <x:v>5857.359477124182</x:v>
      </x:c>
      <x:c r="R52" s="20" t="n">
        <x:v>5857.36</x:v>
      </x:c>
      <x:c r="S52" s="18" t="n">
        <x:v>46214</x:v>
      </x:c>
      <x:c r="T52" s="20" t="n">
        <x:v>0</x:v>
      </x:c>
      <x:c r="U52" t="str">
        <x:v>Ödendi</x:v>
      </x:c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Çınar Apartmanı — Banka Hareketleri</x:v>
      </x:c>
      <x:c r="B1" s="3"/>
      <x:c r="C1" s="3"/>
      <x:c r="D1" s="3"/>
      <x:c r="E1" s="3"/>
      <x:c r="F1" s="3"/>
      <x:c r="G1" s="3"/>
      <x:c r="H1" s="3"/>
    </x:row>
    <x:row r="2">
      <x:c r="H2" t="n">
        <x:v>56674.71000000001</x:v>
      </x:c>
    </x:row>
    <x:row r="3">
      <x:c r="A3" s="9" t="str">
        <x:v>Tarih</x:v>
      </x:c>
      <x:c r="B3" s="9" t="str">
        <x:v>Açıklama</x:v>
      </x:c>
      <x:c r="C3" s="9" t="str">
        <x:v>Tip</x:v>
      </x:c>
      <x:c r="D3" s="9" t="str">
        <x:v>Giriş</x:v>
      </x:c>
      <x:c r="E3" s="9" t="str">
        <x:v>Çıkış</x:v>
      </x:c>
      <x:c r="F3" s="9" t="str">
        <x:v>Bakiye</x:v>
      </x:c>
      <x:c r="G3" s="9" t="str">
        <x:v>Kategori</x:v>
      </x:c>
      <x:c r="H3" s="9" t="str">
        <x:v>Referans</x:v>
      </x:c>
    </x:row>
    <x:row r="4">
      <x:c r="A4" s="18" t="n">
        <x:v>46027</x:v>
      </x:c>
      <x:c r="B4" t="str">
        <x:v>Daire 1 - Ahmet Yılmaz 01/2026 aidat</x:v>
      </x:c>
      <x:c r="C4" t="str">
        <x:v>Giriş</x:v>
      </x:c>
      <x:c r="D4" s="20" t="n">
        <x:v>1088.94</x:v>
      </x:c>
      <x:c r="E4" s="20" t="n">
        <x:v>0</x:v>
      </x:c>
      <x:c r="F4" s="20" t="n">
        <x:v>19588.94</x:v>
      </x:c>
      <x:c r="G4" t="str">
        <x:v>Aidat</x:v>
      </x:c>
      <x:c r="H4" t="str">
        <x:v>B001-R001-01</x:v>
      </x:c>
    </x:row>
    <x:row r="5">
      <x:c r="A5" s="18" t="n">
        <x:v>46027</x:v>
      </x:c>
      <x:c r="B5" t="str">
        <x:v>Daire 3 - Ayşe Demir 01/2026 aidat</x:v>
      </x:c>
      <x:c r="C5" t="str">
        <x:v>Giriş</x:v>
      </x:c>
      <x:c r="D5" s="20" t="n">
        <x:v>1451.92</x:v>
      </x:c>
      <x:c r="E5" s="20" t="n">
        <x:v>0</x:v>
      </x:c>
      <x:c r="F5" s="20" t="n">
        <x:v>21040.86</x:v>
      </x:c>
      <x:c r="G5" t="str">
        <x:v>Aidat</x:v>
      </x:c>
      <x:c r="H5" t="str">
        <x:v>B001-R003-01</x:v>
      </x:c>
    </x:row>
    <x:row r="6">
      <x:c r="A6" s="18" t="n">
        <x:v>46027</x:v>
      </x:c>
      <x:c r="B6" t="str">
        <x:v>Daire 7 - Cem Arslan 01/2026 aidat</x:v>
      </x:c>
      <x:c r="C6" t="str">
        <x:v>Giriş</x:v>
      </x:c>
      <x:c r="D6" s="20" t="n">
        <x:v>2389.62</x:v>
      </x:c>
      <x:c r="E6" s="20" t="n">
        <x:v>0</x:v>
      </x:c>
      <x:c r="F6" s="20" t="n">
        <x:v>23430.48</x:v>
      </x:c>
      <x:c r="G6" t="str">
        <x:v>Aidat</x:v>
      </x:c>
      <x:c r="H6" t="str">
        <x:v>B001-R007-01</x:v>
      </x:c>
    </x:row>
    <x:row r="7">
      <x:c r="A7" s="18" t="n">
        <x:v>46028</x:v>
      </x:c>
      <x:c r="B7" t="str">
        <x:v>Daire 6 - Selin Aydın 01/2026 aidat</x:v>
      </x:c>
      <x:c r="C7" t="str">
        <x:v>Giriş</x:v>
      </x:c>
      <x:c r="D7" s="20" t="n">
        <x:v>1996.39</x:v>
      </x:c>
      <x:c r="E7" s="20" t="n">
        <x:v>0</x:v>
      </x:c>
      <x:c r="F7" s="20" t="n">
        <x:v>25426.87</x:v>
      </x:c>
      <x:c r="G7" t="str">
        <x:v>Aidat</x:v>
      </x:c>
      <x:c r="H7" t="str">
        <x:v>B001-R006-01</x:v>
      </x:c>
    </x:row>
    <x:row r="8">
      <x:c r="A8" s="18" t="n">
        <x:v>46028</x:v>
      </x:c>
      <x:c r="B8" t="str">
        <x:v>Ocak ortak alan elektrik</x:v>
      </x:c>
      <x:c r="C8" t="str">
        <x:v>Çıkış</x:v>
      </x:c>
      <x:c r="D8" s="20" t="n">
        <x:v>0</x:v>
      </x:c>
      <x:c r="E8" s="20" t="n">
        <x:v>1650</x:v>
      </x:c>
      <x:c r="F8" s="20" t="n">
        <x:v>23776.87</x:v>
      </x:c>
      <x:c r="G8" t="str">
        <x:v>Ortak Alan Elektrik</x:v>
      </x:c>
      <x:c r="H8" t="str">
        <x:v>B001-G0007</x:v>
      </x:c>
    </x:row>
    <x:row r="9">
      <x:c r="A9" s="18" t="n">
        <x:v>46030</x:v>
      </x:c>
      <x:c r="B9" t="str">
        <x:v>Daire 5 - Emre Çelik 01/2026 aidat</x:v>
      </x:c>
      <x:c r="C9" t="str">
        <x:v>Giriş</x:v>
      </x:c>
      <x:c r="D9" s="20" t="n">
        <x:v>1784.65</x:v>
      </x:c>
      <x:c r="E9" s="20" t="n">
        <x:v>0</x:v>
      </x:c>
      <x:c r="F9" s="20" t="n">
        <x:v>25561.52</x:v>
      </x:c>
      <x:c r="G9" t="str">
        <x:v>Aidat</x:v>
      </x:c>
      <x:c r="H9" t="str">
        <x:v>B001-R005-01</x:v>
      </x:c>
    </x:row>
    <x:row r="10">
      <x:c r="A10" s="18" t="n">
        <x:v>46032</x:v>
      </x:c>
      <x:c r="B10" t="str">
        <x:v>Ocak ortak alan su</x:v>
      </x:c>
      <x:c r="C10" t="str">
        <x:v>Çıkış</x:v>
      </x:c>
      <x:c r="D10" s="20" t="n">
        <x:v>0</x:v>
      </x:c>
      <x:c r="E10" s="20" t="n">
        <x:v>850</x:v>
      </x:c>
      <x:c r="F10" s="20" t="n">
        <x:v>24711.52</x:v>
      </x:c>
      <x:c r="G10" t="str">
        <x:v>Ortak Alan Su</x:v>
      </x:c>
      <x:c r="H10" t="str">
        <x:v>B001-G0008</x:v>
      </x:c>
    </x:row>
    <x:row r="11">
      <x:c r="A11" s="18" t="n">
        <x:v>46034</x:v>
      </x:c>
      <x:c r="B11" t="str">
        <x:v>Daire 2 - Mehmet Kaya 01/2026 aidat</x:v>
      </x:c>
      <x:c r="C11" t="str">
        <x:v>Giriş</x:v>
      </x:c>
      <x:c r="D11" s="20" t="n">
        <x:v>1270.43</x:v>
      </x:c>
      <x:c r="E11" s="20" t="n">
        <x:v>0</x:v>
      </x:c>
      <x:c r="F11" s="20" t="n">
        <x:v>25981.95</x:v>
      </x:c>
      <x:c r="G11" t="str">
        <x:v>Aidat</x:v>
      </x:c>
      <x:c r="H11" t="str">
        <x:v>B001-R002-01</x:v>
      </x:c>
    </x:row>
    <x:row r="12">
      <x:c r="A12" s="18" t="n">
        <x:v>46034</x:v>
      </x:c>
      <x:c r="B12" t="str">
        <x:v>Daire 4 - Fatma Şahin 01/2026 aidat</x:v>
      </x:c>
      <x:c r="C12" t="str">
        <x:v>Giriş</x:v>
      </x:c>
      <x:c r="D12" s="20" t="n">
        <x:v>1588.04</x:v>
      </x:c>
      <x:c r="E12" s="20" t="n">
        <x:v>0</x:v>
      </x:c>
      <x:c r="F12" s="20" t="n">
        <x:v>27569.99</x:v>
      </x:c>
      <x:c r="G12" t="str">
        <x:v>Aidat</x:v>
      </x:c>
      <x:c r="H12" t="str">
        <x:v>B001-R004-01</x:v>
      </x:c>
    </x:row>
    <x:row r="13">
      <x:c r="A13" s="18" t="n">
        <x:v>46037</x:v>
      </x:c>
      <x:c r="B13" t="str">
        <x:v>Aylık asansör bakımı</x:v>
      </x:c>
      <x:c r="C13" t="str">
        <x:v>Çıkış</x:v>
      </x:c>
      <x:c r="D13" s="20" t="n">
        <x:v>0</x:v>
      </x:c>
      <x:c r="E13" s="20" t="n">
        <x:v>2100</x:v>
      </x:c>
      <x:c r="F13" s="20" t="n">
        <x:v>25469.99</x:v>
      </x:c>
      <x:c r="G13" t="str">
        <x:v>Asansör Bakımı</x:v>
      </x:c>
      <x:c r="H13" t="str">
        <x:v>B001-G0009</x:v>
      </x:c>
    </x:row>
    <x:row r="14">
      <x:c r="A14" s="18" t="n">
        <x:v>46040</x:v>
      </x:c>
      <x:c r="B14" t="str">
        <x:v>Hidrofor bakım ve ayar</x:v>
      </x:c>
      <x:c r="C14" t="str">
        <x:v>Çıkış</x:v>
      </x:c>
      <x:c r="D14" s="20" t="n">
        <x:v>0</x:v>
      </x:c>
      <x:c r="E14" s="20" t="n">
        <x:v>3200</x:v>
      </x:c>
      <x:c r="F14" s="20" t="n">
        <x:v>22269.99</x:v>
      </x:c>
      <x:c r="G14" t="str">
        <x:v>Hidrofor Bakımı</x:v>
      </x:c>
      <x:c r="H14" t="str">
        <x:v>B001-G0010</x:v>
      </x:c>
    </x:row>
    <x:row r="15">
      <x:c r="A15" s="18" t="n">
        <x:v>46047</x:v>
      </x:c>
      <x:c r="B15" t="str">
        <x:v>Yönetim hizmet bedeli</x:v>
      </x:c>
      <x:c r="C15" t="str">
        <x:v>Çıkış</x:v>
      </x:c>
      <x:c r="D15" s="20" t="n">
        <x:v>0</x:v>
      </x:c>
      <x:c r="E15" s="20" t="n">
        <x:v>2500</x:v>
      </x:c>
      <x:c r="F15" s="20" t="n">
        <x:v>19769.99</x:v>
      </x:c>
      <x:c r="G15" t="str">
        <x:v>Yönetim Hizmeti</x:v>
      </x:c>
      <x:c r="H15" t="str">
        <x:v>B001-G0012</x:v>
      </x:c>
    </x:row>
    <x:row r="16">
      <x:c r="A16" s="18" t="n">
        <x:v>46057</x:v>
      </x:c>
      <x:c r="B16" t="str">
        <x:v>Daire 1 - Ahmet Yılmaz 02/2026 aidat</x:v>
      </x:c>
      <x:c r="C16" t="str">
        <x:v>Giriş</x:v>
      </x:c>
      <x:c r="D16" s="20" t="n">
        <x:v>1232.94</x:v>
      </x:c>
      <x:c r="E16" s="20" t="n">
        <x:v>0</x:v>
      </x:c>
      <x:c r="F16" s="20" t="n">
        <x:v>21002.93</x:v>
      </x:c>
      <x:c r="G16" t="str">
        <x:v>Aidat</x:v>
      </x:c>
      <x:c r="H16" t="str">
        <x:v>B001-R001-02</x:v>
      </x:c>
    </x:row>
    <x:row r="17">
      <x:c r="A17" s="18" t="n">
        <x:v>46057</x:v>
      </x:c>
      <x:c r="B17" t="str">
        <x:v>Daire 5 - Emre Çelik 02/2026 aidat</x:v>
      </x:c>
      <x:c r="C17" t="str">
        <x:v>Giriş</x:v>
      </x:c>
      <x:c r="D17" s="20" t="n">
        <x:v>2020.65</x:v>
      </x:c>
      <x:c r="E17" s="20" t="n">
        <x:v>0</x:v>
      </x:c>
      <x:c r="F17" s="20" t="n">
        <x:v>23023.58</x:v>
      </x:c>
      <x:c r="G17" t="str">
        <x:v>Aidat</x:v>
      </x:c>
      <x:c r="H17" t="str">
        <x:v>B001-R005-02</x:v>
      </x:c>
    </x:row>
    <x:row r="18">
      <x:c r="A18" s="18" t="n">
        <x:v>46058</x:v>
      </x:c>
      <x:c r="B18" t="str">
        <x:v>Daire 2 - Mehmet Kaya 02/2026 aidat</x:v>
      </x:c>
      <x:c r="C18" t="str">
        <x:v>Giriş</x:v>
      </x:c>
      <x:c r="D18" s="20" t="n">
        <x:v>1438.43</x:v>
      </x:c>
      <x:c r="E18" s="20" t="n">
        <x:v>0</x:v>
      </x:c>
      <x:c r="F18" s="20" t="n">
        <x:v>24462.010000000002</x:v>
      </x:c>
      <x:c r="G18" t="str">
        <x:v>Aidat</x:v>
      </x:c>
      <x:c r="H18" t="str">
        <x:v>B001-R002-02</x:v>
      </x:c>
    </x:row>
    <x:row r="19">
      <x:c r="A19" s="18" t="n">
        <x:v>46060</x:v>
      </x:c>
      <x:c r="B19" t="str">
        <x:v>Daire 3 - Ayşe Demir 02/2026 aidat</x:v>
      </x:c>
      <x:c r="C19" t="str">
        <x:v>Giriş</x:v>
      </x:c>
      <x:c r="D19" s="20" t="n">
        <x:v>1643.92</x:v>
      </x:c>
      <x:c r="E19" s="20" t="n">
        <x:v>0</x:v>
      </x:c>
      <x:c r="F19" s="20" t="n">
        <x:v>26105.93</x:v>
      </x:c>
      <x:c r="G19" t="str">
        <x:v>Aidat</x:v>
      </x:c>
      <x:c r="H19" t="str">
        <x:v>B001-R003-02</x:v>
      </x:c>
    </x:row>
    <x:row r="20">
      <x:c r="A20" s="18" t="n">
        <x:v>46060</x:v>
      </x:c>
      <x:c r="B20" t="str">
        <x:v>Daire 4 - Fatma Şahin 02/2026 aidat</x:v>
      </x:c>
      <x:c r="C20" t="str">
        <x:v>Giriş</x:v>
      </x:c>
      <x:c r="D20" s="20" t="n">
        <x:v>1798.04</x:v>
      </x:c>
      <x:c r="E20" s="20" t="n">
        <x:v>0</x:v>
      </x:c>
      <x:c r="F20" s="20" t="n">
        <x:v>27903.97</x:v>
      </x:c>
      <x:c r="G20" t="str">
        <x:v>Aidat</x:v>
      </x:c>
      <x:c r="H20" t="str">
        <x:v>B001-R004-02</x:v>
      </x:c>
    </x:row>
    <x:row r="21">
      <x:c r="A21" s="18" t="n">
        <x:v>46060</x:v>
      </x:c>
      <x:c r="B21" t="str">
        <x:v>Daire 6 - Selin Aydın 02/2026 aidat</x:v>
      </x:c>
      <x:c r="C21" t="str">
        <x:v>Giriş</x:v>
      </x:c>
      <x:c r="D21" s="20" t="n">
        <x:v>2260.39</x:v>
      </x:c>
      <x:c r="E21" s="20" t="n">
        <x:v>0</x:v>
      </x:c>
      <x:c r="F21" s="20" t="n">
        <x:v>30164.36</x:v>
      </x:c>
      <x:c r="G21" t="str">
        <x:v>Aidat</x:v>
      </x:c>
      <x:c r="H21" t="str">
        <x:v>B001-R006-02</x:v>
      </x:c>
    </x:row>
    <x:row r="22">
      <x:c r="A22" s="18" t="n">
        <x:v>46060</x:v>
      </x:c>
      <x:c r="B22" t="str">
        <x:v>Şubat ortak alan elektrik</x:v>
      </x:c>
      <x:c r="C22" t="str">
        <x:v>Çıkış</x:v>
      </x:c>
      <x:c r="D22" s="20" t="n">
        <x:v>0</x:v>
      </x:c>
      <x:c r="E22" s="20" t="n">
        <x:v>1725</x:v>
      </x:c>
      <x:c r="F22" s="20" t="n">
        <x:v>28439.36</x:v>
      </x:c>
      <x:c r="G22" t="str">
        <x:v>Ortak Alan Elektrik</x:v>
      </x:c>
      <x:c r="H22" t="str">
        <x:v>B001-G0013</x:v>
      </x:c>
    </x:row>
    <x:row r="23">
      <x:c r="A23" s="18" t="n">
        <x:v>46062</x:v>
      </x:c>
      <x:c r="B23" t="str">
        <x:v>Daire 7 - Cem Arslan 02/2026 aidat</x:v>
      </x:c>
      <x:c r="C23" t="str">
        <x:v>Giriş</x:v>
      </x:c>
      <x:c r="D23" s="20" t="n">
        <x:v>2705.62</x:v>
      </x:c>
      <x:c r="E23" s="20" t="n">
        <x:v>0</x:v>
      </x:c>
      <x:c r="F23" s="20" t="n">
        <x:v>31144.98</x:v>
      </x:c>
      <x:c r="G23" t="str">
        <x:v>Aidat</x:v>
      </x:c>
      <x:c r="H23" t="str">
        <x:v>B001-R007-02</x:v>
      </x:c>
    </x:row>
    <x:row r="24">
      <x:c r="A24" s="18" t="n">
        <x:v>46064</x:v>
      </x:c>
      <x:c r="B24" t="str">
        <x:v>Şubat ortak alan su</x:v>
      </x:c>
      <x:c r="C24" t="str">
        <x:v>Çıkış</x:v>
      </x:c>
      <x:c r="D24" s="20" t="n">
        <x:v>0</x:v>
      </x:c>
      <x:c r="E24" s="20" t="n">
        <x:v>925</x:v>
      </x:c>
      <x:c r="F24" s="20" t="n">
        <x:v>30219.98</x:v>
      </x:c>
      <x:c r="G24" t="str">
        <x:v>Ortak Alan Su</x:v>
      </x:c>
      <x:c r="H24" t="str">
        <x:v>B001-G0014</x:v>
      </x:c>
    </x:row>
    <x:row r="25">
      <x:c r="A25" s="18" t="n">
        <x:v>46067</x:v>
      </x:c>
      <x:c r="B25" t="str">
        <x:v>Aylık asansör bakımı</x:v>
      </x:c>
      <x:c r="C25" t="str">
        <x:v>Çıkış</x:v>
      </x:c>
      <x:c r="D25" s="20" t="n">
        <x:v>0</x:v>
      </x:c>
      <x:c r="E25" s="20" t="n">
        <x:v>2100</x:v>
      </x:c>
      <x:c r="F25" s="20" t="n">
        <x:v>28119.98</x:v>
      </x:c>
      <x:c r="G25" t="str">
        <x:v>Asansör Bakımı</x:v>
      </x:c>
      <x:c r="H25" t="str">
        <x:v>B001-G0015</x:v>
      </x:c>
    </x:row>
    <x:row r="26">
      <x:c r="A26" s="18" t="n">
        <x:v>46072</x:v>
      </x:c>
      <x:c r="B26" t="str">
        <x:v>Jeneratör akü ve filtre kontrolü</x:v>
      </x:c>
      <x:c r="C26" t="str">
        <x:v>Çıkış</x:v>
      </x:c>
      <x:c r="D26" s="20" t="n">
        <x:v>0</x:v>
      </x:c>
      <x:c r="E26" s="20" t="n">
        <x:v>2400</x:v>
      </x:c>
      <x:c r="F26" s="20" t="n">
        <x:v>25719.98</x:v>
      </x:c>
      <x:c r="G26" t="str">
        <x:v>Jeneratör Bakımı</x:v>
      </x:c>
      <x:c r="H26" t="str">
        <x:v>B001-G0016</x:v>
      </x:c>
    </x:row>
    <x:row r="27">
      <x:c r="A27" s="18" t="n">
        <x:v>46075</x:v>
      </x:c>
      <x:c r="B27" t="str">
        <x:v>Yangın tüpü kontrol ve dolumu</x:v>
      </x:c>
      <x:c r="C27" t="str">
        <x:v>Çıkış</x:v>
      </x:c>
      <x:c r="D27" s="20" t="n">
        <x:v>0</x:v>
      </x:c>
      <x:c r="E27" s="20" t="n">
        <x:v>4200</x:v>
      </x:c>
      <x:c r="F27" s="20" t="n">
        <x:v>21519.98</x:v>
      </x:c>
      <x:c r="G27" t="str">
        <x:v>Yangın Sistemleri</x:v>
      </x:c>
      <x:c r="H27" t="str">
        <x:v>B001-G0017</x:v>
      </x:c>
    </x:row>
    <x:row r="28">
      <x:c r="A28" s="18" t="n">
        <x:v>46077</x:v>
      </x:c>
      <x:c r="B28" t="str">
        <x:v>Yönetim hizmet bedeli</x:v>
      </x:c>
      <x:c r="C28" t="str">
        <x:v>Çıkış</x:v>
      </x:c>
      <x:c r="D28" s="20" t="n">
        <x:v>0</x:v>
      </x:c>
      <x:c r="E28" s="20" t="n">
        <x:v>2500</x:v>
      </x:c>
      <x:c r="F28" s="20" t="n">
        <x:v>19019.98</x:v>
      </x:c>
      <x:c r="G28" t="str">
        <x:v>Yönetim Hizmeti</x:v>
      </x:c>
      <x:c r="H28" t="str">
        <x:v>B001-G0018</x:v>
      </x:c>
    </x:row>
    <x:row r="29">
      <x:c r="A29" s="18" t="n">
        <x:v>46087</x:v>
      </x:c>
      <x:c r="B29" t="str">
        <x:v>Daire 5 - Emre Çelik 03/2026 aidat</x:v>
      </x:c>
      <x:c r="C29" t="str">
        <x:v>Giriş</x:v>
      </x:c>
      <x:c r="D29" s="20" t="n">
        <x:v>2136.34</x:v>
      </x:c>
      <x:c r="E29" s="20" t="n">
        <x:v>0</x:v>
      </x:c>
      <x:c r="F29" s="20" t="n">
        <x:v>21156.32</x:v>
      </x:c>
      <x:c r="G29" t="str">
        <x:v>Aidat</x:v>
      </x:c>
      <x:c r="H29" t="str">
        <x:v>B001-R005-03</x:v>
      </x:c>
    </x:row>
    <x:row r="30">
      <x:c r="A30" s="18" t="n">
        <x:v>46087</x:v>
      </x:c>
      <x:c r="B30" t="str">
        <x:v>Mart ortak alan elektrik</x:v>
      </x:c>
      <x:c r="C30" t="str">
        <x:v>Çıkış</x:v>
      </x:c>
      <x:c r="D30" s="20" t="n">
        <x:v>0</x:v>
      </x:c>
      <x:c r="E30" s="20" t="n">
        <x:v>1580</x:v>
      </x:c>
      <x:c r="F30" s="20" t="n">
        <x:v>19576.32</x:v>
      </x:c>
      <x:c r="G30" t="str">
        <x:v>Ortak Alan Elektrik</x:v>
      </x:c>
      <x:c r="H30" t="str">
        <x:v>B001-G0019</x:v>
      </x:c>
    </x:row>
    <x:row r="31">
      <x:c r="A31" s="18" t="n">
        <x:v>46088</x:v>
      </x:c>
      <x:c r="B31" t="str">
        <x:v>Daire 3 - Ayşe Demir 03/2026 aidat</x:v>
      </x:c>
      <x:c r="C31" t="str">
        <x:v>Giriş</x:v>
      </x:c>
      <x:c r="D31" s="20" t="n">
        <x:v>1738.04</x:v>
      </x:c>
      <x:c r="E31" s="20" t="n">
        <x:v>0</x:v>
      </x:c>
      <x:c r="F31" s="20" t="n">
        <x:v>21314.36</x:v>
      </x:c>
      <x:c r="G31" t="str">
        <x:v>Aidat</x:v>
      </x:c>
      <x:c r="H31" t="str">
        <x:v>B001-R003-03</x:v>
      </x:c>
    </x:row>
    <x:row r="32">
      <x:c r="A32" s="18" t="n">
        <x:v>46089</x:v>
      </x:c>
      <x:c r="B32" t="str">
        <x:v>Daire 1 - Ahmet Yılmaz 03/2026 aidat</x:v>
      </x:c>
      <x:c r="C32" t="str">
        <x:v>Giriş</x:v>
      </x:c>
      <x:c r="D32" s="20" t="n">
        <x:v>1303.53</x:v>
      </x:c>
      <x:c r="E32" s="20" t="n">
        <x:v>0</x:v>
      </x:c>
      <x:c r="F32" s="20" t="n">
        <x:v>22617.89</x:v>
      </x:c>
      <x:c r="G32" t="str">
        <x:v>Aidat</x:v>
      </x:c>
      <x:c r="H32" t="str">
        <x:v>B001-R001-03</x:v>
      </x:c>
    </x:row>
    <x:row r="33">
      <x:c r="A33" s="18" t="n">
        <x:v>46090</x:v>
      </x:c>
      <x:c r="B33" t="str">
        <x:v>Daire 7 - Cem Arslan 03/2026 aidat</x:v>
      </x:c>
      <x:c r="C33" t="str">
        <x:v>Giriş</x:v>
      </x:c>
      <x:c r="D33" s="20" t="n">
        <x:v>2860.52</x:v>
      </x:c>
      <x:c r="E33" s="20" t="n">
        <x:v>0</x:v>
      </x:c>
      <x:c r="F33" s="20" t="n">
        <x:v>25478.41</x:v>
      </x:c>
      <x:c r="G33" t="str">
        <x:v>Aidat</x:v>
      </x:c>
      <x:c r="H33" t="str">
        <x:v>B001-R007-03</x:v>
      </x:c>
    </x:row>
    <x:row r="34">
      <x:c r="A34" s="18" t="n">
        <x:v>46091</x:v>
      </x:c>
      <x:c r="B34" t="str">
        <x:v>Mart ortak alan su</x:v>
      </x:c>
      <x:c r="C34" t="str">
        <x:v>Çıkış</x:v>
      </x:c>
      <x:c r="D34" s="20" t="n">
        <x:v>0</x:v>
      </x:c>
      <x:c r="E34" s="20" t="n">
        <x:v>890</x:v>
      </x:c>
      <x:c r="F34" s="20" t="n">
        <x:v>24588.41</x:v>
      </x:c>
      <x:c r="G34" t="str">
        <x:v>Ortak Alan Su</x:v>
      </x:c>
      <x:c r="H34" t="str">
        <x:v>B001-G0020</x:v>
      </x:c>
    </x:row>
    <x:row r="35">
      <x:c r="A35" s="18" t="n">
        <x:v>46093</x:v>
      </x:c>
      <x:c r="B35" t="str">
        <x:v>Daire 4 - Fatma Şahin 03/2026 aidat</x:v>
      </x:c>
      <x:c r="C35" t="str">
        <x:v>Giriş</x:v>
      </x:c>
      <x:c r="D35" s="20" t="n">
        <x:v>1900.98</x:v>
      </x:c>
      <x:c r="E35" s="20" t="n">
        <x:v>0</x:v>
      </x:c>
      <x:c r="F35" s="20" t="n">
        <x:v>26489.39</x:v>
      </x:c>
      <x:c r="G35" t="str">
        <x:v>Aidat</x:v>
      </x:c>
      <x:c r="H35" t="str">
        <x:v>B001-R004-03</x:v>
      </x:c>
    </x:row>
    <x:row r="36">
      <x:c r="A36" s="18" t="n">
        <x:v>46094</x:v>
      </x:c>
      <x:c r="B36" t="str">
        <x:v>Aylık asansör bakımı</x:v>
      </x:c>
      <x:c r="C36" t="str">
        <x:v>Çıkış</x:v>
      </x:c>
      <x:c r="D36" s="20" t="n">
        <x:v>0</x:v>
      </x:c>
      <x:c r="E36" s="20" t="n">
        <x:v>2100</x:v>
      </x:c>
      <x:c r="F36" s="20" t="n">
        <x:v>24389.39</x:v>
      </x:c>
      <x:c r="G36" t="str">
        <x:v>Asansör Bakımı</x:v>
      </x:c>
      <x:c r="H36" t="str">
        <x:v>B001-G0021</x:v>
      </x:c>
    </x:row>
    <x:row r="37">
      <x:c r="A37" s="18" t="n">
        <x:v>46106</x:v>
      </x:c>
      <x:c r="B37" t="str">
        <x:v>Yönetim hizmet bedeli</x:v>
      </x:c>
      <x:c r="C37" t="str">
        <x:v>Çıkış</x:v>
      </x:c>
      <x:c r="D37" s="20" t="n">
        <x:v>0</x:v>
      </x:c>
      <x:c r="E37" s="20" t="n">
        <x:v>2500</x:v>
      </x:c>
      <x:c r="F37" s="20" t="n">
        <x:v>21889.39</x:v>
      </x:c>
      <x:c r="G37" t="str">
        <x:v>Yönetim Hizmeti</x:v>
      </x:c>
      <x:c r="H37" t="str">
        <x:v>B001-G0024</x:v>
      </x:c>
    </x:row>
    <x:row r="38">
      <x:c r="A38" s="18" t="n">
        <x:v>46117</x:v>
      </x:c>
      <x:c r="B38" t="str">
        <x:v>Nisan ortak alan elektrik</x:v>
      </x:c>
      <x:c r="C38" t="str">
        <x:v>Çıkış</x:v>
      </x:c>
      <x:c r="D38" s="20" t="n">
        <x:v>0</x:v>
      </x:c>
      <x:c r="E38" s="20" t="n">
        <x:v>1690</x:v>
      </x:c>
      <x:c r="F38" s="20" t="n">
        <x:v>20199.39</x:v>
      </x:c>
      <x:c r="G38" t="str">
        <x:v>Ortak Alan Elektrik</x:v>
      </x:c>
      <x:c r="H38" t="str">
        <x:v>B001-G0025</x:v>
      </x:c>
    </x:row>
    <x:row r="39">
      <x:c r="A39" s="18" t="n">
        <x:v>46119</x:v>
      </x:c>
      <x:c r="B39" t="str">
        <x:v>Daire 1 - Ahmet Yılmaz 04/2026 aidat</x:v>
      </x:c>
      <x:c r="C39" t="str">
        <x:v>Giriş</x:v>
      </x:c>
      <x:c r="D39" s="20" t="n">
        <x:v>1305.41</x:v>
      </x:c>
      <x:c r="E39" s="20" t="n">
        <x:v>0</x:v>
      </x:c>
      <x:c r="F39" s="20" t="n">
        <x:v>21504.8</x:v>
      </x:c>
      <x:c r="G39" t="str">
        <x:v>Aidat</x:v>
      </x:c>
      <x:c r="H39" t="str">
        <x:v>B001-R001-04</x:v>
      </x:c>
    </x:row>
    <x:row r="40">
      <x:c r="A40" s="18" t="n">
        <x:v>46121</x:v>
      </x:c>
      <x:c r="B40" t="str">
        <x:v>Daire 6 - Selin Aydın 04/2026 aidat</x:v>
      </x:c>
      <x:c r="C40" t="str">
        <x:v>Giriş</x:v>
      </x:c>
      <x:c r="D40" s="20" t="n">
        <x:v>2393.25</x:v>
      </x:c>
      <x:c r="E40" s="20" t="n">
        <x:v>0</x:v>
      </x:c>
      <x:c r="F40" s="20" t="n">
        <x:v>23898.05</x:v>
      </x:c>
      <x:c r="G40" t="str">
        <x:v>Aidat</x:v>
      </x:c>
      <x:c r="H40" t="str">
        <x:v>B001-R006-04</x:v>
      </x:c>
    </x:row>
    <x:row r="41">
      <x:c r="A41" s="18" t="n">
        <x:v>46121</x:v>
      </x:c>
      <x:c r="B41" t="str">
        <x:v>Nisan ortak alan su</x:v>
      </x:c>
      <x:c r="C41" t="str">
        <x:v>Çıkış</x:v>
      </x:c>
      <x:c r="D41" s="20" t="n">
        <x:v>0</x:v>
      </x:c>
      <x:c r="E41" s="20" t="n">
        <x:v>910</x:v>
      </x:c>
      <x:c r="F41" s="20" t="n">
        <x:v>22988.05</x:v>
      </x:c>
      <x:c r="G41" t="str">
        <x:v>Ortak Alan Su</x:v>
      </x:c>
      <x:c r="H41" t="str">
        <x:v>B001-G0026</x:v>
      </x:c>
    </x:row>
    <x:row r="42">
      <x:c r="A42" s="18" t="n">
        <x:v>46122</x:v>
      </x:c>
      <x:c r="B42" t="str">
        <x:v>Daire 4 - Fatma Şahin 04/2026 aidat</x:v>
      </x:c>
      <x:c r="C42" t="str">
        <x:v>Giriş</x:v>
      </x:c>
      <x:c r="D42" s="20" t="n">
        <x:v>1903.73</x:v>
      </x:c>
      <x:c r="E42" s="20" t="n">
        <x:v>0</x:v>
      </x:c>
      <x:c r="F42" s="20" t="n">
        <x:v>24891.78</x:v>
      </x:c>
      <x:c r="G42" t="str">
        <x:v>Aidat</x:v>
      </x:c>
      <x:c r="H42" t="str">
        <x:v>B001-R004-04</x:v>
      </x:c>
    </x:row>
    <x:row r="43">
      <x:c r="A43" s="18" t="n">
        <x:v>46122</x:v>
      </x:c>
      <x:c r="B43" t="str">
        <x:v>Daire 5 - Emre Çelik 04/2026 aidat</x:v>
      </x:c>
      <x:c r="C43" t="str">
        <x:v>Giriş</x:v>
      </x:c>
      <x:c r="D43" s="20" t="n">
        <x:v>2139.42</x:v>
      </x:c>
      <x:c r="E43" s="20" t="n">
        <x:v>0</x:v>
      </x:c>
      <x:c r="F43" s="20" t="n">
        <x:v>27031.199999999997</x:v>
      </x:c>
      <x:c r="G43" t="str">
        <x:v>Aidat</x:v>
      </x:c>
      <x:c r="H43" t="str">
        <x:v>B001-R005-04</x:v>
      </x:c>
    </x:row>
    <x:row r="44">
      <x:c r="A44" s="18" t="n">
        <x:v>46124</x:v>
      </x:c>
      <x:c r="B44" t="str">
        <x:v>Daire 3 - Ayşe Demir 04/2026 aidat</x:v>
      </x:c>
      <x:c r="C44" t="str">
        <x:v>Giriş</x:v>
      </x:c>
      <x:c r="D44" s="20" t="n">
        <x:v>1740.55</x:v>
      </x:c>
      <x:c r="E44" s="20" t="n">
        <x:v>0</x:v>
      </x:c>
      <x:c r="F44" s="20" t="n">
        <x:v>28771.749999999996</x:v>
      </x:c>
      <x:c r="G44" t="str">
        <x:v>Aidat</x:v>
      </x:c>
      <x:c r="H44" t="str">
        <x:v>B001-R003-04</x:v>
      </x:c>
    </x:row>
    <x:row r="45">
      <x:c r="A45" s="18" t="n">
        <x:v>46125</x:v>
      </x:c>
      <x:c r="B45" t="str">
        <x:v>Daire 2 - Mehmet Kaya 04/2026 aidat</x:v>
      </x:c>
      <x:c r="C45" t="str">
        <x:v>Giriş</x:v>
      </x:c>
      <x:c r="D45" s="20" t="n">
        <x:v>1522.98</x:v>
      </x:c>
      <x:c r="E45" s="20" t="n">
        <x:v>0</x:v>
      </x:c>
      <x:c r="F45" s="20" t="n">
        <x:v>30294.729999999996</x:v>
      </x:c>
      <x:c r="G45" t="str">
        <x:v>Aidat</x:v>
      </x:c>
      <x:c r="H45" t="str">
        <x:v>B001-R002-04</x:v>
      </x:c>
    </x:row>
    <x:row r="46">
      <x:c r="A46" s="18" t="n">
        <x:v>46125</x:v>
      </x:c>
      <x:c r="B46" t="str">
        <x:v>Daire 7 - Cem Arslan 04/2026 aidat</x:v>
      </x:c>
      <x:c r="C46" t="str">
        <x:v>Giriş</x:v>
      </x:c>
      <x:c r="D46" s="20" t="n">
        <x:v>2864.65</x:v>
      </x:c>
      <x:c r="E46" s="20" t="n">
        <x:v>0</x:v>
      </x:c>
      <x:c r="F46" s="20" t="n">
        <x:v>33159.38</x:v>
      </x:c>
      <x:c r="G46" t="str">
        <x:v>Aidat</x:v>
      </x:c>
      <x:c r="H46" t="str">
        <x:v>B001-R007-04</x:v>
      </x:c>
    </x:row>
    <x:row r="47">
      <x:c r="A47" s="18" t="n">
        <x:v>46125</x:v>
      </x:c>
      <x:c r="B47" t="str">
        <x:v>Aylık asansör bakımı</x:v>
      </x:c>
      <x:c r="C47" t="str">
        <x:v>Çıkış</x:v>
      </x:c>
      <x:c r="D47" s="20" t="n">
        <x:v>0</x:v>
      </x:c>
      <x:c r="E47" s="20" t="n">
        <x:v>2200</x:v>
      </x:c>
      <x:c r="F47" s="20" t="n">
        <x:v>30959.379999999997</x:v>
      </x:c>
      <x:c r="G47" t="str">
        <x:v>Asansör Bakımı</x:v>
      </x:c>
      <x:c r="H47" t="str">
        <x:v>B001-G0027</x:v>
      </x:c>
    </x:row>
    <x:row r="48">
      <x:c r="A48" s="18" t="n">
        <x:v>46129</x:v>
      </x:c>
      <x:c r="B48" t="str">
        <x:v>Hidrofor parça değişimi</x:v>
      </x:c>
      <x:c r="C48" t="str">
        <x:v>Çıkış</x:v>
      </x:c>
      <x:c r="D48" s="20" t="n">
        <x:v>0</x:v>
      </x:c>
      <x:c r="E48" s="20" t="n">
        <x:v>6200</x:v>
      </x:c>
      <x:c r="F48" s="20" t="n">
        <x:v>24759.379999999997</x:v>
      </x:c>
      <x:c r="G48" t="str">
        <x:v>Hidrofor Bakımı</x:v>
      </x:c>
      <x:c r="H48" t="str">
        <x:v>B001-G0028</x:v>
      </x:c>
    </x:row>
    <x:row r="49">
      <x:c r="A49" s="18" t="n">
        <x:v>46137</x:v>
      </x:c>
      <x:c r="B49" t="str">
        <x:v>Yönetim hizmet bedeli</x:v>
      </x:c>
      <x:c r="C49" t="str">
        <x:v>Çıkış</x:v>
      </x:c>
      <x:c r="D49" s="20" t="n">
        <x:v>0</x:v>
      </x:c>
      <x:c r="E49" s="20" t="n">
        <x:v>2500</x:v>
      </x:c>
      <x:c r="F49" s="20" t="n">
        <x:v>22259.379999999997</x:v>
      </x:c>
      <x:c r="G49" t="str">
        <x:v>Yönetim Hizmeti</x:v>
      </x:c>
      <x:c r="H49" t="str">
        <x:v>B001-G0030</x:v>
      </x:c>
    </x:row>
    <x:row r="50">
      <x:c r="A50" s="18" t="n">
        <x:v>46147</x:v>
      </x:c>
      <x:c r="B50" t="str">
        <x:v>Daire 6 - Selin Aydın 05/2026 aidat</x:v>
      </x:c>
      <x:c r="C50" t="str">
        <x:v>Giriş</x:v>
      </x:c>
      <x:c r="D50" s="20" t="n">
        <x:v>2778.04</x:v>
      </x:c>
      <x:c r="E50" s="20" t="n">
        <x:v>0</x:v>
      </x:c>
      <x:c r="F50" s="20" t="n">
        <x:v>25037.42</x:v>
      </x:c>
      <x:c r="G50" t="str">
        <x:v>Aidat</x:v>
      </x:c>
      <x:c r="H50" t="str">
        <x:v>B001-R006-05</x:v>
      </x:c>
    </x:row>
    <x:row r="51">
      <x:c r="A51" s="18" t="n">
        <x:v>46148</x:v>
      </x:c>
      <x:c r="B51" t="str">
        <x:v>Mayıs ortak alan elektrik</x:v>
      </x:c>
      <x:c r="C51" t="str">
        <x:v>Çıkış</x:v>
      </x:c>
      <x:c r="D51" s="20" t="n">
        <x:v>0</x:v>
      </x:c>
      <x:c r="E51" s="20" t="n">
        <x:v>1810</x:v>
      </x:c>
      <x:c r="F51" s="20" t="n">
        <x:v>23227.42</x:v>
      </x:c>
      <x:c r="G51" t="str">
        <x:v>Ortak Alan Elektrik</x:v>
      </x:c>
      <x:c r="H51" t="str">
        <x:v>B001-G0031</x:v>
      </x:c>
    </x:row>
    <x:row r="52">
      <x:c r="A52" s="18" t="n">
        <x:v>46149</x:v>
      </x:c>
      <x:c r="B52" t="str">
        <x:v>Daire 1 - Ahmet Yılmaz 05/2026 aidat</x:v>
      </x:c>
      <x:c r="C52" t="str">
        <x:v>Giriş</x:v>
      </x:c>
      <x:c r="D52" s="20" t="n">
        <x:v>1515.29</x:v>
      </x:c>
      <x:c r="E52" s="20" t="n">
        <x:v>0</x:v>
      </x:c>
      <x:c r="F52" s="20" t="n">
        <x:v>24742.71</x:v>
      </x:c>
      <x:c r="G52" t="str">
        <x:v>Aidat</x:v>
      </x:c>
      <x:c r="H52" t="str">
        <x:v>B001-R001-05</x:v>
      </x:c>
    </x:row>
    <x:row r="53">
      <x:c r="A53" s="18" t="n">
        <x:v>46149</x:v>
      </x:c>
      <x:c r="B53" t="str">
        <x:v>Daire 4 - Fatma Şahin 05/2026 aidat</x:v>
      </x:c>
      <x:c r="C53" t="str">
        <x:v>Giriş</x:v>
      </x:c>
      <x:c r="D53" s="20" t="n">
        <x:v>2209.8</x:v>
      </x:c>
      <x:c r="E53" s="20" t="n">
        <x:v>0</x:v>
      </x:c>
      <x:c r="F53" s="20" t="n">
        <x:v>26952.51</x:v>
      </x:c>
      <x:c r="G53" t="str">
        <x:v>Aidat</x:v>
      </x:c>
      <x:c r="H53" t="str">
        <x:v>B001-R004-05</x:v>
      </x:c>
    </x:row>
    <x:row r="54">
      <x:c r="A54" s="18" t="n">
        <x:v>46150</x:v>
      </x:c>
      <x:c r="B54" t="str">
        <x:v>Daire 7 - Cem Arslan 05/2026 aidat</x:v>
      </x:c>
      <x:c r="C54" t="str">
        <x:v>Giriş</x:v>
      </x:c>
      <x:c r="D54" s="20" t="n">
        <x:v>3325.23</x:v>
      </x:c>
      <x:c r="E54" s="20" t="n">
        <x:v>0</x:v>
      </x:c>
      <x:c r="F54" s="20" t="n">
        <x:v>30277.739999999998</x:v>
      </x:c>
      <x:c r="G54" t="str">
        <x:v>Aidat</x:v>
      </x:c>
      <x:c r="H54" t="str">
        <x:v>B001-R007-05</x:v>
      </x:c>
    </x:row>
    <x:row r="55">
      <x:c r="A55" s="18" t="n">
        <x:v>46151</x:v>
      </x:c>
      <x:c r="B55" t="str">
        <x:v>Daire 5 - Emre Çelik 05/2026 aidat</x:v>
      </x:c>
      <x:c r="C55" t="str">
        <x:v>Giriş</x:v>
      </x:c>
      <x:c r="D55" s="20" t="n">
        <x:v>2483.4</x:v>
      </x:c>
      <x:c r="E55" s="20" t="n">
        <x:v>0</x:v>
      </x:c>
      <x:c r="F55" s="20" t="n">
        <x:v>32761.14</x:v>
      </x:c>
      <x:c r="G55" t="str">
        <x:v>Aidat</x:v>
      </x:c>
      <x:c r="H55" t="str">
        <x:v>B001-R005-05</x:v>
      </x:c>
    </x:row>
    <x:row r="56">
      <x:c r="A56" s="18" t="n">
        <x:v>46152</x:v>
      </x:c>
      <x:c r="B56" t="str">
        <x:v>Daire 2 - Mehmet Kaya 05/2026 aidat</x:v>
      </x:c>
      <x:c r="C56" t="str">
        <x:v>Giriş</x:v>
      </x:c>
      <x:c r="D56" s="20" t="n">
        <x:v>1767.84</x:v>
      </x:c>
      <x:c r="E56" s="20" t="n">
        <x:v>0</x:v>
      </x:c>
      <x:c r="F56" s="20" t="n">
        <x:v>34528.979999999996</x:v>
      </x:c>
      <x:c r="G56" t="str">
        <x:v>Aidat</x:v>
      </x:c>
      <x:c r="H56" t="str">
        <x:v>B001-R002-05</x:v>
      </x:c>
    </x:row>
    <x:row r="57">
      <x:c r="A57" s="18" t="n">
        <x:v>46152</x:v>
      </x:c>
      <x:c r="B57" t="str">
        <x:v>Mayıs ortak alan su</x:v>
      </x:c>
      <x:c r="C57" t="str">
        <x:v>Çıkış</x:v>
      </x:c>
      <x:c r="D57" s="20" t="n">
        <x:v>0</x:v>
      </x:c>
      <x:c r="E57" s="20" t="n">
        <x:v>980</x:v>
      </x:c>
      <x:c r="F57" s="20" t="n">
        <x:v>33548.979999999996</x:v>
      </x:c>
      <x:c r="G57" t="str">
        <x:v>Ortak Alan Su</x:v>
      </x:c>
      <x:c r="H57" t="str">
        <x:v>B001-G0032</x:v>
      </x:c>
    </x:row>
    <x:row r="58">
      <x:c r="A58" s="18" t="n">
        <x:v>46156</x:v>
      </x:c>
      <x:c r="B58" t="str">
        <x:v>Aylık asansör bakımı</x:v>
      </x:c>
      <x:c r="C58" t="str">
        <x:v>Çıkış</x:v>
      </x:c>
      <x:c r="D58" s="20" t="n">
        <x:v>0</x:v>
      </x:c>
      <x:c r="E58" s="20" t="n">
        <x:v>2200</x:v>
      </x:c>
      <x:c r="F58" s="20" t="n">
        <x:v>31348.979999999996</x:v>
      </x:c>
      <x:c r="G58" t="str">
        <x:v>Asansör Bakımı</x:v>
      </x:c>
      <x:c r="H58" t="str">
        <x:v>B001-G0033</x:v>
      </x:c>
    </x:row>
    <x:row r="59">
      <x:c r="A59" s="18" t="n">
        <x:v>46157</x:v>
      </x:c>
      <x:c r="B59" t="str">
        <x:v>Daire 3 - Ayşe Demir 05/2026 aidat</x:v>
      </x:c>
      <x:c r="C59" t="str">
        <x:v>Giriş</x:v>
      </x:c>
      <x:c r="D59" s="20" t="n">
        <x:v>1010.2</x:v>
      </x:c>
      <x:c r="E59" s="20" t="n">
        <x:v>0</x:v>
      </x:c>
      <x:c r="F59" s="20" t="n">
        <x:v>32359.179999999997</x:v>
      </x:c>
      <x:c r="G59" t="str">
        <x:v>Aidat</x:v>
      </x:c>
      <x:c r="H59" t="str">
        <x:v>B001-R003-05</x:v>
      </x:c>
    </x:row>
    <x:row r="60">
      <x:c r="A60" s="18" t="n">
        <x:v>46160</x:v>
      </x:c>
      <x:c r="B60" t="str">
        <x:v>Jeneratör yağ ve filtre bakımı</x:v>
      </x:c>
      <x:c r="C60" t="str">
        <x:v>Çıkış</x:v>
      </x:c>
      <x:c r="D60" s="20" t="n">
        <x:v>0</x:v>
      </x:c>
      <x:c r="E60" s="20" t="n">
        <x:v>3600</x:v>
      </x:c>
      <x:c r="F60" s="20" t="n">
        <x:v>28759.179999999997</x:v>
      </x:c>
      <x:c r="G60" t="str">
        <x:v>Jeneratör Bakımı</x:v>
      </x:c>
      <x:c r="H60" t="str">
        <x:v>B001-G0034</x:v>
      </x:c>
    </x:row>
    <x:row r="61">
      <x:c r="A61" s="18" t="n">
        <x:v>46167</x:v>
      </x:c>
      <x:c r="B61" t="str">
        <x:v>Yönetim hizmet bedeli</x:v>
      </x:c>
      <x:c r="C61" t="str">
        <x:v>Çıkış</x:v>
      </x:c>
      <x:c r="D61" s="20" t="n">
        <x:v>0</x:v>
      </x:c>
      <x:c r="E61" s="20" t="n">
        <x:v>2500</x:v>
      </x:c>
      <x:c r="F61" s="20" t="n">
        <x:v>26259.179999999997</x:v>
      </x:c>
      <x:c r="G61" t="str">
        <x:v>Yönetim Hizmeti</x:v>
      </x:c>
      <x:c r="H61" t="str">
        <x:v>B001-G0036</x:v>
      </x:c>
    </x:row>
    <x:row r="62">
      <x:c r="A62" s="18" t="n">
        <x:v>46177</x:v>
      </x:c>
      <x:c r="B62" t="str">
        <x:v>Daire 2 - Mehmet Kaya 06/2026 aidat</x:v>
      </x:c>
      <x:c r="C62" t="str">
        <x:v>Giriş</x:v>
      </x:c>
      <x:c r="D62" s="20" t="n">
        <x:v>1547.14</x:v>
      </x:c>
      <x:c r="E62" s="20" t="n">
        <x:v>0</x:v>
      </x:c>
      <x:c r="F62" s="20" t="n">
        <x:v>27806.319999999996</x:v>
      </x:c>
      <x:c r="G62" t="str">
        <x:v>Aidat</x:v>
      </x:c>
      <x:c r="H62" t="str">
        <x:v>B001-R002-06</x:v>
      </x:c>
    </x:row>
    <x:row r="63">
      <x:c r="A63" s="18" t="n">
        <x:v>46177</x:v>
      </x:c>
      <x:c r="B63" t="str">
        <x:v>Daire 7 - Cem Arslan 06/2026 aidat</x:v>
      </x:c>
      <x:c r="C63" t="str">
        <x:v>Giriş</x:v>
      </x:c>
      <x:c r="D63" s="20" t="n">
        <x:v>2910.09</x:v>
      </x:c>
      <x:c r="E63" s="20" t="n">
        <x:v>0</x:v>
      </x:c>
      <x:c r="F63" s="20" t="n">
        <x:v>30716.409999999996</x:v>
      </x:c>
      <x:c r="G63" t="str">
        <x:v>Aidat</x:v>
      </x:c>
      <x:c r="H63" t="str">
        <x:v>B001-R007-06</x:v>
      </x:c>
    </x:row>
    <x:row r="64">
      <x:c r="A64" s="18" t="n">
        <x:v>46178</x:v>
      </x:c>
      <x:c r="B64" t="str">
        <x:v>Daire 6 - Selin Aydın 06/2026 aidat</x:v>
      </x:c>
      <x:c r="C64" t="str">
        <x:v>Giriş</x:v>
      </x:c>
      <x:c r="D64" s="20" t="n">
        <x:v>2431.22</x:v>
      </x:c>
      <x:c r="E64" s="20" t="n">
        <x:v>0</x:v>
      </x:c>
      <x:c r="F64" s="20" t="n">
        <x:v>33147.63</x:v>
      </x:c>
      <x:c r="G64" t="str">
        <x:v>Aidat</x:v>
      </x:c>
      <x:c r="H64" t="str">
        <x:v>B001-R006-06</x:v>
      </x:c>
    </x:row>
    <x:row r="65">
      <x:c r="A65" s="18" t="n">
        <x:v>46179</x:v>
      </x:c>
      <x:c r="B65" t="str">
        <x:v>Daire 1 - Ahmet Yılmaz 06/2026 aidat</x:v>
      </x:c>
      <x:c r="C65" t="str">
        <x:v>Giriş</x:v>
      </x:c>
      <x:c r="D65" s="20" t="n">
        <x:v>1326.12</x:v>
      </x:c>
      <x:c r="E65" s="20" t="n">
        <x:v>0</x:v>
      </x:c>
      <x:c r="F65" s="20" t="n">
        <x:v>34473.75</x:v>
      </x:c>
      <x:c r="G65" t="str">
        <x:v>Aidat</x:v>
      </x:c>
      <x:c r="H65" t="str">
        <x:v>B001-R001-06</x:v>
      </x:c>
    </x:row>
    <x:row r="66">
      <x:c r="A66" s="18" t="n">
        <x:v>46179</x:v>
      </x:c>
      <x:c r="B66" t="str">
        <x:v>Haziran ortak alan elektrik</x:v>
      </x:c>
      <x:c r="C66" t="str">
        <x:v>Çıkış</x:v>
      </x:c>
      <x:c r="D66" s="20" t="n">
        <x:v>0</x:v>
      </x:c>
      <x:c r="E66" s="20" t="n">
        <x:v>1940</x:v>
      </x:c>
      <x:c r="F66" s="20" t="n">
        <x:v>32533.75</x:v>
      </x:c>
      <x:c r="G66" t="str">
        <x:v>Ortak Alan Elektrik</x:v>
      </x:c>
      <x:c r="H66" t="str">
        <x:v>B001-G0037</x:v>
      </x:c>
    </x:row>
    <x:row r="67">
      <x:c r="A67" s="18" t="n">
        <x:v>46181</x:v>
      </x:c>
      <x:c r="B67" t="str">
        <x:v>Daire 5 - Emre Çelik 06/2026 aidat</x:v>
      </x:c>
      <x:c r="C67" t="str">
        <x:v>Giriş</x:v>
      </x:c>
      <x:c r="D67" s="20" t="n">
        <x:v>2173.36</x:v>
      </x:c>
      <x:c r="E67" s="20" t="n">
        <x:v>0</x:v>
      </x:c>
      <x:c r="F67" s="20" t="n">
        <x:v>34707.11</x:v>
      </x:c>
      <x:c r="G67" t="str">
        <x:v>Aidat</x:v>
      </x:c>
      <x:c r="H67" t="str">
        <x:v>B001-R005-06</x:v>
      </x:c>
    </x:row>
    <x:row r="68">
      <x:c r="A68" s="18" t="n">
        <x:v>46183</x:v>
      </x:c>
      <x:c r="B68" t="str">
        <x:v>Haziran ortak alan su</x:v>
      </x:c>
      <x:c r="C68" t="str">
        <x:v>Çıkış</x:v>
      </x:c>
      <x:c r="D68" s="20" t="n">
        <x:v>0</x:v>
      </x:c>
      <x:c r="E68" s="20" t="n">
        <x:v>1020</x:v>
      </x:c>
      <x:c r="F68" s="20" t="n">
        <x:v>33687.11</x:v>
      </x:c>
      <x:c r="G68" t="str">
        <x:v>Ortak Alan Su</x:v>
      </x:c>
      <x:c r="H68" t="str">
        <x:v>B001-G0038</x:v>
      </x:c>
    </x:row>
    <x:row r="69">
      <x:c r="A69" s="18" t="n">
        <x:v>46184</x:v>
      </x:c>
      <x:c r="B69" t="str">
        <x:v>Daire 4 - Fatma Şahin 06/2026 aidat</x:v>
      </x:c>
      <x:c r="C69" t="str">
        <x:v>Giriş</x:v>
      </x:c>
      <x:c r="D69" s="20" t="n">
        <x:v>1933.92</x:v>
      </x:c>
      <x:c r="E69" s="20" t="n">
        <x:v>0</x:v>
      </x:c>
      <x:c r="F69" s="20" t="n">
        <x:v>35621.03</x:v>
      </x:c>
      <x:c r="G69" t="str">
        <x:v>Aidat</x:v>
      </x:c>
      <x:c r="H69" t="str">
        <x:v>B001-R004-06</x:v>
      </x:c>
    </x:row>
    <x:row r="70">
      <x:c r="A70" s="18" t="n">
        <x:v>46186</x:v>
      </x:c>
      <x:c r="B70" t="str">
        <x:v>Daire 3 - Ayşe Demir 06/2026 aidat</x:v>
      </x:c>
      <x:c r="C70" t="str">
        <x:v>Giriş</x:v>
      </x:c>
      <x:c r="D70" s="20" t="n">
        <x:v>1768.16</x:v>
      </x:c>
      <x:c r="E70" s="20" t="n">
        <x:v>0</x:v>
      </x:c>
      <x:c r="F70" s="20" t="n">
        <x:v>37389.19</x:v>
      </x:c>
      <x:c r="G70" t="str">
        <x:v>Aidat</x:v>
      </x:c>
      <x:c r="H70" t="str">
        <x:v>B001-R003-06</x:v>
      </x:c>
    </x:row>
    <x:row r="71">
      <x:c r="A71" s="18" t="n">
        <x:v>46187</x:v>
      </x:c>
      <x:c r="B71" t="str">
        <x:v>Aylık asansör bakımı</x:v>
      </x:c>
      <x:c r="C71" t="str">
        <x:v>Çıkış</x:v>
      </x:c>
      <x:c r="D71" s="20" t="n">
        <x:v>0</x:v>
      </x:c>
      <x:c r="E71" s="20" t="n">
        <x:v>2200</x:v>
      </x:c>
      <x:c r="F71" s="20" t="n">
        <x:v>35189.19</x:v>
      </x:c>
      <x:c r="G71" t="str">
        <x:v>Asansör Bakımı</x:v>
      </x:c>
      <x:c r="H71" t="str">
        <x:v>B001-G0039</x:v>
      </x:c>
    </x:row>
    <x:row r="72">
      <x:c r="A72" s="18" t="n">
        <x:v>46198</x:v>
      </x:c>
      <x:c r="B72" t="str">
        <x:v>Yönetim hizmet bedeli</x:v>
      </x:c>
      <x:c r="C72" t="str">
        <x:v>Çıkış</x:v>
      </x:c>
      <x:c r="D72" s="20" t="n">
        <x:v>0</x:v>
      </x:c>
      <x:c r="E72" s="20" t="n">
        <x:v>2500</x:v>
      </x:c>
      <x:c r="F72" s="20" t="n">
        <x:v>32689.190000000002</x:v>
      </x:c>
      <x:c r="G72" t="str">
        <x:v>Yönetim Hizmeti</x:v>
      </x:c>
      <x:c r="H72" t="str">
        <x:v>B001-G0042</x:v>
      </x:c>
    </x:row>
    <x:row r="73">
      <x:c r="A73" s="18" t="n">
        <x:v>46207</x:v>
      </x:c>
      <x:c r="B73" t="str">
        <x:v>Daire 2 - Mehmet Kaya 07/2026 aidat</x:v>
      </x:c>
      <x:c r="C73" t="str">
        <x:v>Giriş</x:v>
      </x:c>
      <x:c r="D73" s="20" t="n">
        <x:v>3114.04</x:v>
      </x:c>
      <x:c r="E73" s="20" t="n">
        <x:v>0</x:v>
      </x:c>
      <x:c r="F73" s="20" t="n">
        <x:v>35803.23</x:v>
      </x:c>
      <x:c r="G73" t="str">
        <x:v>Aidat</x:v>
      </x:c>
      <x:c r="H73" t="str">
        <x:v>B001-R002-07</x:v>
      </x:c>
    </x:row>
    <x:row r="74">
      <x:c r="A74" s="18" t="n">
        <x:v>46207</x:v>
      </x:c>
      <x:c r="B74" t="str">
        <x:v>Daire 3 - Ayşe Demir 07/2026 aidat</x:v>
      </x:c>
      <x:c r="C74" t="str">
        <x:v>Giriş</x:v>
      </x:c>
      <x:c r="D74" s="20" t="n">
        <x:v>3558.9</x:v>
      </x:c>
      <x:c r="E74" s="20" t="n">
        <x:v>0</x:v>
      </x:c>
      <x:c r="F74" s="20" t="n">
        <x:v>39362.130000000005</x:v>
      </x:c>
      <x:c r="G74" t="str">
        <x:v>Aidat</x:v>
      </x:c>
      <x:c r="H74" t="str">
        <x:v>B001-R003-07</x:v>
      </x:c>
    </x:row>
    <x:row r="75">
      <x:c r="A75" s="18" t="n">
        <x:v>46208</x:v>
      </x:c>
      <x:c r="B75" t="str">
        <x:v>Daire 1 - Ahmet Yılmaz 07/2026 aidat</x:v>
      </x:c>
      <x:c r="C75" t="str">
        <x:v>Giriş</x:v>
      </x:c>
      <x:c r="D75" s="20" t="n">
        <x:v>2669.18</x:v>
      </x:c>
      <x:c r="E75" s="20" t="n">
        <x:v>0</x:v>
      </x:c>
      <x:c r="F75" s="20" t="n">
        <x:v>42031.310000000005</x:v>
      </x:c>
      <x:c r="G75" t="str">
        <x:v>Aidat</x:v>
      </x:c>
      <x:c r="H75" t="str">
        <x:v>B001-R001-07</x:v>
      </x:c>
    </x:row>
    <x:row r="76">
      <x:c r="A76" s="18" t="n">
        <x:v>46213</x:v>
      </x:c>
      <x:c r="B76" t="str">
        <x:v>Daire 6 - Selin Aydın 07/2026 aidat</x:v>
      </x:c>
      <x:c r="C76" t="str">
        <x:v>Giriş</x:v>
      </x:c>
      <x:c r="D76" s="20" t="n">
        <x:v>4893.49</x:v>
      </x:c>
      <x:c r="E76" s="20" t="n">
        <x:v>0</x:v>
      </x:c>
      <x:c r="F76" s="20" t="n">
        <x:v>46924.8</x:v>
      </x:c>
      <x:c r="G76" t="str">
        <x:v>Aidat</x:v>
      </x:c>
      <x:c r="H76" t="str">
        <x:v>B001-R006-07</x:v>
      </x:c>
    </x:row>
    <x:row r="77">
      <x:c r="A77" s="18" t="n">
        <x:v>46214</x:v>
      </x:c>
      <x:c r="B77" t="str">
        <x:v>Daire 7 - Cem Arslan 07/2026 aidat</x:v>
      </x:c>
      <x:c r="C77" t="str">
        <x:v>Giriş</x:v>
      </x:c>
      <x:c r="D77" s="20" t="n">
        <x:v>5857.36</x:v>
      </x:c>
      <x:c r="E77" s="20" t="n">
        <x:v>0</x:v>
      </x:c>
      <x:c r="F77" s="20" t="n">
        <x:v>52782.16</x:v>
      </x:c>
      <x:c r="G77" t="str">
        <x:v>Aidat</x:v>
      </x:c>
      <x:c r="H77" t="str">
        <x:v>B001-R007-07</x:v>
      </x:c>
    </x:row>
    <x:row r="78">
      <x:c r="A78" s="18" t="n">
        <x:v>46216</x:v>
      </x:c>
      <x:c r="B78" t="str">
        <x:v>Daire 4 - Fatma Şahin 07/2026 aidat</x:v>
      </x:c>
      <x:c r="C78" t="str">
        <x:v>Giriş</x:v>
      </x:c>
      <x:c r="D78" s="20" t="n">
        <x:v>3892.55</x:v>
      </x:c>
      <x:c r="E78" s="20" t="n">
        <x:v>0</x:v>
      </x:c>
      <x:c r="F78" s="20" t="n">
        <x:v>56674.71000000001</x:v>
      </x:c>
      <x:c r="G78" t="str">
        <x:v>Aidat</x:v>
      </x:c>
      <x:c r="H78" t="str">
        <x:v>B001-R004-07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B001-R001 — Ahmet Yılmaz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B001-R001</x:v>
      </x:c>
    </x:row>
    <x:row r="4">
      <x:c r="A4" s="7" t="str">
        <x:v>Ad Soyad</x:v>
      </x:c>
      <x:c r="B4" t="str">
        <x:v>Ahmet Yılmaz</x:v>
      </x:c>
    </x:row>
    <x:row r="5">
      <x:c r="A5" s="7" t="str">
        <x:v>Daire No</x:v>
      </x:c>
      <x:c r="B5" t="n">
        <x:v>1</x:v>
      </x:c>
    </x:row>
    <x:row r="6">
      <x:c r="A6" s="7" t="str">
        <x:v>Net m²</x:v>
      </x:c>
      <x:c r="B6" s="14" t="n">
        <x:v>72</x:v>
      </x:c>
    </x:row>
    <x:row r="7">
      <x:c r="A7" s="7" t="str">
        <x:v>Ortak Gider Payı</x:v>
      </x:c>
      <x:c r="B7" s="16" t="n">
        <x:v>0.09411764705882353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145.88235294117646</x:v>
      </x:c>
      <x:c r="D11" s="20" t="n">
        <x:v>77.17647058823529</x:v>
      </x:c>
      <x:c r="E11" s="20" t="n">
        <x:v>197.64705882352942</x:v>
      </x:c>
      <x:c r="F11" s="20" t="n">
        <x:v>169.41176470588235</x:v>
      </x:c>
      <x:c r="G11" s="20" t="n">
        <x:v>0</x:v>
      </x:c>
      <x:c r="H11" s="20" t="n">
        <x:v>0</x:v>
      </x:c>
      <x:c r="I11" s="20" t="n">
        <x:v>263.52941176470586</x:v>
      </x:c>
      <x:c r="J11" s="20" t="n">
        <x:v>0</x:v>
      </x:c>
      <x:c r="K11" s="20" t="n">
        <x:v>0</x:v>
      </x:c>
      <x:c r="L11" s="20" t="n">
        <x:v>0</x:v>
      </x:c>
      <x:c r="M11" s="20" t="n">
        <x:v>235.2941176470588</x:v>
      </x:c>
      <x:c r="N11" s="20" t="n">
        <x:v>1088.9411764705883</x:v>
      </x:c>
      <x:c r="O11" s="20" t="n">
        <x:v>1088.94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155.2941176470588</x:v>
      </x:c>
      <x:c r="D12" s="20" t="n">
        <x:v>80</x:v>
      </x:c>
      <x:c r="E12" s="20" t="n">
        <x:v>197.64705882352942</x:v>
      </x:c>
      <x:c r="F12" s="20" t="n">
        <x:v>0</x:v>
      </x:c>
      <x:c r="G12" s="20" t="n">
        <x:v>301.1764705882353</x:v>
      </x:c>
      <x:c r="H12" s="20" t="n">
        <x:v>0</x:v>
      </x:c>
      <x:c r="I12" s="20" t="n">
        <x:v>263.52941176470586</x:v>
      </x:c>
      <x:c r="J12" s="20" t="n">
        <x:v>0</x:v>
      </x:c>
      <x:c r="K12" s="20" t="n">
        <x:v>0</x:v>
      </x:c>
      <x:c r="L12" s="20" t="n">
        <x:v>0</x:v>
      </x:c>
      <x:c r="M12" s="20" t="n">
        <x:v>235.2941176470588</x:v>
      </x:c>
      <x:c r="N12" s="20" t="n">
        <x:v>1232.9411764705883</x:v>
      </x:c>
      <x:c r="O12" s="20" t="n">
        <x:v>1232.94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162.35294117647058</x:v>
      </x:c>
      <x:c r="D13" s="20" t="n">
        <x:v>87.05882352941177</x:v>
      </x:c>
      <x:c r="E13" s="20" t="n">
        <x:v>197.64705882352942</x:v>
      </x:c>
      <x:c r="F13" s="20" t="n">
        <x:v>225.88235294117646</x:v>
      </x:c>
      <x:c r="G13" s="20" t="n">
        <x:v>0</x:v>
      </x:c>
      <x:c r="H13" s="20" t="n">
        <x:v>395.29411764705884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235.2941176470588</x:v>
      </x:c>
      <x:c r="N13" s="20" t="n">
        <x:v>1303.5294117647059</x:v>
      </x:c>
      <x:c r="O13" s="20" t="n">
        <x:v>1303.53</x:v>
      </x:c>
      <x:c r="P13" s="20" t="n">
        <x:v>0</x:v>
      </x:c>
      <x:c r="Q13" t="str">
        <x:v>Ödendi</x:v>
      </x:c>
    </x:row>
    <x:row r="14">
      <x:c r="A14" s="22" t="n">
        <x:v>46113</x:v>
      </x:c>
      <x:c r="B14" s="22" t="n">
        <x:v>46082</x:v>
      </x:c>
      <x:c r="C14" s="20" t="n">
        <x:v>148.7058823529412</x:v>
      </x:c>
      <x:c r="D14" s="20" t="n">
        <x:v>83.76470588235294</x:v>
      </x:c>
      <x:c r="E14" s="20" t="n">
        <x:v>197.64705882352942</x:v>
      </x:c>
      <x:c r="F14" s="20" t="n">
        <x:v>0</x:v>
      </x:c>
      <x:c r="G14" s="20" t="n">
        <x:v>0</x:v>
      </x:c>
      <x:c r="H14" s="20" t="n">
        <x:v>0</x:v>
      </x:c>
      <x:c r="I14" s="20" t="n">
        <x:v>282.3529411764706</x:v>
      </x:c>
      <x:c r="J14" s="20" t="n">
        <x:v>0</x:v>
      </x:c>
      <x:c r="K14" s="20" t="n">
        <x:v>357.6470588235294</x:v>
      </x:c>
      <x:c r="L14" s="20" t="n">
        <x:v>0</x:v>
      </x:c>
      <x:c r="M14" s="20" t="n">
        <x:v>235.2941176470588</x:v>
      </x:c>
      <x:c r="N14" s="20" t="n">
        <x:v>1305.4117647058824</x:v>
      </x:c>
      <x:c r="O14" s="20" t="n">
        <x:v>1305.41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159.05882352941177</x:v>
      </x:c>
      <x:c r="D15" s="20" t="n">
        <x:v>85.6470588235294</x:v>
      </x:c>
      <x:c r="E15" s="20" t="n">
        <x:v>207.05882352941177</x:v>
      </x:c>
      <x:c r="F15" s="20" t="n">
        <x:v>0</x:v>
      </x:c>
      <x:c r="G15" s="20" t="n">
        <x:v>583.5294117647059</x:v>
      </x:c>
      <x:c r="H15" s="20" t="n">
        <x:v>0</x:v>
      </x:c>
      <x:c r="I15" s="20" t="n">
        <x:v>0</x:v>
      </x:c>
      <x:c r="J15" s="20" t="n">
        <x:v>244.70588235294116</x:v>
      </x:c>
      <x:c r="K15" s="20" t="n">
        <x:v>0</x:v>
      </x:c>
      <x:c r="L15" s="20" t="n">
        <x:v>0</x:v>
      </x:c>
      <x:c r="M15" s="20" t="n">
        <x:v>235.2941176470588</x:v>
      </x:c>
      <x:c r="N15" s="20" t="n">
        <x:v>1515.2941176470588</x:v>
      </x:c>
      <x:c r="O15" s="20" t="n">
        <x:v>1515.29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170.35294117647058</x:v>
      </x:c>
      <x:c r="D16" s="20" t="n">
        <x:v>92.23529411764706</x:v>
      </x:c>
      <x:c r="E16" s="20" t="n">
        <x:v>207.05882352941177</x:v>
      </x:c>
      <x:c r="F16" s="20" t="n">
        <x:v>338.8235294117647</x:v>
      </x:c>
      <x:c r="G16" s="20" t="n">
        <x:v>0</x:v>
      </x:c>
      <x:c r="H16" s="20" t="n">
        <x:v>0</x:v>
      </x:c>
      <x:c r="I16" s="20" t="n">
        <x:v>282.3529411764706</x:v>
      </x:c>
      <x:c r="J16" s="20" t="n">
        <x:v>0</x:v>
      </x:c>
      <x:c r="K16" s="20" t="n">
        <x:v>0</x:v>
      </x:c>
      <x:c r="L16" s="20" t="n">
        <x:v>0</x:v>
      </x:c>
      <x:c r="M16" s="20" t="n">
        <x:v>235.2941176470588</x:v>
      </x:c>
      <x:c r="N16" s="20" t="n">
        <x:v>1326.1176470588234</x:v>
      </x:c>
      <x:c r="O16" s="20" t="n">
        <x:v>1326.12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182.58823529411765</x:v>
      </x:c>
      <x:c r="D17" s="20" t="n">
        <x:v>96</x:v>
      </x:c>
      <x:c r="E17" s="20" t="n">
        <x:v>207.05882352941177</x:v>
      </x:c>
      <x:c r="F17" s="20" t="n">
        <x:v>0</x:v>
      </x:c>
      <x:c r="G17" s="20" t="n">
        <x:v>0</x:v>
      </x:c>
      <x:c r="H17" s="20" t="n">
        <x:v>0</x:v>
      </x:c>
      <x:c r="I17" s="20" t="n">
        <x:v>301.1764705882353</x:v>
      </x:c>
      <x:c r="J17" s="20" t="n">
        <x:v>0</x:v>
      </x:c>
      <x:c r="K17" s="20" t="n">
        <x:v>0</x:v>
      </x:c>
      <x:c r="L17" s="20" t="n">
        <x:v>1647.0588235294117</x:v>
      </x:c>
      <x:c r="M17" s="20" t="n">
        <x:v>235.2941176470588</x:v>
      </x:c>
      <x:c r="N17" s="20" t="n">
        <x:v>2669.176470588235</x:v>
      </x:c>
      <x:c r="O17" s="20" t="n">
        <x:v>2669.18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B001-R002 — Mehmet Kaya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B001-R002</x:v>
      </x:c>
    </x:row>
    <x:row r="4">
      <x:c r="A4" s="7" t="str">
        <x:v>Ad Soyad</x:v>
      </x:c>
      <x:c r="B4" t="str">
        <x:v>Mehmet Kaya</x:v>
      </x:c>
    </x:row>
    <x:row r="5">
      <x:c r="A5" s="7" t="str">
        <x:v>Daire No</x:v>
      </x:c>
      <x:c r="B5" t="n">
        <x:v>2</x:v>
      </x:c>
    </x:row>
    <x:row r="6">
      <x:c r="A6" s="7" t="str">
        <x:v>Net m²</x:v>
      </x:c>
      <x:c r="B6" s="14" t="n">
        <x:v>84</x:v>
      </x:c>
    </x:row>
    <x:row r="7">
      <x:c r="A7" s="7" t="str">
        <x:v>Ortak Gider Payı</x:v>
      </x:c>
      <x:c r="B7" s="16" t="n">
        <x:v>0.10980392156862745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170.19607843137254</x:v>
      </x:c>
      <x:c r="D11" s="20" t="n">
        <x:v>90.0392156862745</x:v>
      </x:c>
      <x:c r="E11" s="20" t="n">
        <x:v>230.58823529411765</x:v>
      </x:c>
      <x:c r="F11" s="20" t="n">
        <x:v>197.64705882352942</x:v>
      </x:c>
      <x:c r="G11" s="20" t="n">
        <x:v>0</x:v>
      </x:c>
      <x:c r="H11" s="20" t="n">
        <x:v>0</x:v>
      </x:c>
      <x:c r="I11" s="20" t="n">
        <x:v>307.45098039215685</x:v>
      </x:c>
      <x:c r="J11" s="20" t="n">
        <x:v>0</x:v>
      </x:c>
      <x:c r="K11" s="20" t="n">
        <x:v>0</x:v>
      </x:c>
      <x:c r="L11" s="20" t="n">
        <x:v>0</x:v>
      </x:c>
      <x:c r="M11" s="20" t="n">
        <x:v>274.5098039215686</x:v>
      </x:c>
      <x:c r="N11" s="20" t="n">
        <x:v>1270.4313725490197</x:v>
      </x:c>
      <x:c r="O11" s="20" t="n">
        <x:v>1270.43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181.1764705882353</x:v>
      </x:c>
      <x:c r="D12" s="20" t="n">
        <x:v>93.33333333333333</x:v>
      </x:c>
      <x:c r="E12" s="20" t="n">
        <x:v>230.58823529411765</x:v>
      </x:c>
      <x:c r="F12" s="20" t="n">
        <x:v>0</x:v>
      </x:c>
      <x:c r="G12" s="20" t="n">
        <x:v>351.37254901960785</x:v>
      </x:c>
      <x:c r="H12" s="20" t="n">
        <x:v>0</x:v>
      </x:c>
      <x:c r="I12" s="20" t="n">
        <x:v>307.45098039215685</x:v>
      </x:c>
      <x:c r="J12" s="20" t="n">
        <x:v>0</x:v>
      </x:c>
      <x:c r="K12" s="20" t="n">
        <x:v>0</x:v>
      </x:c>
      <x:c r="L12" s="20" t="n">
        <x:v>0</x:v>
      </x:c>
      <x:c r="M12" s="20" t="n">
        <x:v>274.5098039215686</x:v>
      </x:c>
      <x:c r="N12" s="20" t="n">
        <x:v>1438.4313725490197</x:v>
      </x:c>
      <x:c r="O12" s="20" t="n">
        <x:v>1438.43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189.41176470588235</x:v>
      </x:c>
      <x:c r="D13" s="20" t="n">
        <x:v>101.56862745098039</x:v>
      </x:c>
      <x:c r="E13" s="20" t="n">
        <x:v>230.58823529411765</x:v>
      </x:c>
      <x:c r="F13" s="20" t="n">
        <x:v>263.52941176470586</x:v>
      </x:c>
      <x:c r="G13" s="20" t="n">
        <x:v>0</x:v>
      </x:c>
      <x:c r="H13" s="20" t="n">
        <x:v>461.1764705882353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274.5098039215686</x:v>
      </x:c>
      <x:c r="N13" s="20" t="n">
        <x:v>1520.7843137254902</x:v>
      </x:c>
      <x:c r="O13" s="20" t="n">
        <x:v>0</x:v>
      </x:c>
      <x:c r="P13" s="20" t="n">
        <x:v>1520.78</x:v>
      </x:c>
      <x:c r="Q13" t="str">
        <x:v>Ödenmedi</x:v>
      </x:c>
    </x:row>
    <x:row r="14">
      <x:c r="A14" s="22" t="n">
        <x:v>46113</x:v>
      </x:c>
      <x:c r="B14" s="22" t="n">
        <x:v>46082</x:v>
      </x:c>
      <x:c r="C14" s="20" t="n">
        <x:v>173.49019607843138</x:v>
      </x:c>
      <x:c r="D14" s="20" t="n">
        <x:v>97.72549019607843</x:v>
      </x:c>
      <x:c r="E14" s="20" t="n">
        <x:v>230.58823529411765</x:v>
      </x:c>
      <x:c r="F14" s="20" t="n">
        <x:v>0</x:v>
      </x:c>
      <x:c r="G14" s="20" t="n">
        <x:v>0</x:v>
      </x:c>
      <x:c r="H14" s="20" t="n">
        <x:v>0</x:v>
      </x:c>
      <x:c r="I14" s="20" t="n">
        <x:v>329.4117647058824</x:v>
      </x:c>
      <x:c r="J14" s="20" t="n">
        <x:v>0</x:v>
      </x:c>
      <x:c r="K14" s="20" t="n">
        <x:v>417.2549019607843</x:v>
      </x:c>
      <x:c r="L14" s="20" t="n">
        <x:v>0</x:v>
      </x:c>
      <x:c r="M14" s="20" t="n">
        <x:v>274.5098039215686</x:v>
      </x:c>
      <x:c r="N14" s="20" t="n">
        <x:v>1522.9803921568628</x:v>
      </x:c>
      <x:c r="O14" s="20" t="n">
        <x:v>1522.98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185.5686274509804</x:v>
      </x:c>
      <x:c r="D15" s="20" t="n">
        <x:v>99.92156862745098</x:v>
      </x:c>
      <x:c r="E15" s="20" t="n">
        <x:v>241.5686274509804</x:v>
      </x:c>
      <x:c r="F15" s="20" t="n">
        <x:v>0</x:v>
      </x:c>
      <x:c r="G15" s="20" t="n">
        <x:v>680.7843137254902</x:v>
      </x:c>
      <x:c r="H15" s="20" t="n">
        <x:v>0</x:v>
      </x:c>
      <x:c r="I15" s="20" t="n">
        <x:v>0</x:v>
      </x:c>
      <x:c r="J15" s="20" t="n">
        <x:v>285.4901960784314</x:v>
      </x:c>
      <x:c r="K15" s="20" t="n">
        <x:v>0</x:v>
      </x:c>
      <x:c r="L15" s="20" t="n">
        <x:v>0</x:v>
      </x:c>
      <x:c r="M15" s="20" t="n">
        <x:v>274.5098039215686</x:v>
      </x:c>
      <x:c r="N15" s="20" t="n">
        <x:v>1767.8431372549019</x:v>
      </x:c>
      <x:c r="O15" s="20" t="n">
        <x:v>1767.84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198.7450980392157</x:v>
      </x:c>
      <x:c r="D16" s="20" t="n">
        <x:v>107.6078431372549</x:v>
      </x:c>
      <x:c r="E16" s="20" t="n">
        <x:v>241.5686274509804</x:v>
      </x:c>
      <x:c r="F16" s="20" t="n">
        <x:v>395.29411764705884</x:v>
      </x:c>
      <x:c r="G16" s="20" t="n">
        <x:v>0</x:v>
      </x:c>
      <x:c r="H16" s="20" t="n">
        <x:v>0</x:v>
      </x:c>
      <x:c r="I16" s="20" t="n">
        <x:v>329.4117647058824</x:v>
      </x:c>
      <x:c r="J16" s="20" t="n">
        <x:v>0</x:v>
      </x:c>
      <x:c r="K16" s="20" t="n">
        <x:v>0</x:v>
      </x:c>
      <x:c r="L16" s="20" t="n">
        <x:v>0</x:v>
      </x:c>
      <x:c r="M16" s="20" t="n">
        <x:v>274.5098039215686</x:v>
      </x:c>
      <x:c r="N16" s="20" t="n">
        <x:v>1547.137254901961</x:v>
      </x:c>
      <x:c r="O16" s="20" t="n">
        <x:v>1547.14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213.01960784313727</x:v>
      </x:c>
      <x:c r="D17" s="20" t="n">
        <x:v>112</x:v>
      </x:c>
      <x:c r="E17" s="20" t="n">
        <x:v>241.5686274509804</x:v>
      </x:c>
      <x:c r="F17" s="20" t="n">
        <x:v>0</x:v>
      </x:c>
      <x:c r="G17" s="20" t="n">
        <x:v>0</x:v>
      </x:c>
      <x:c r="H17" s="20" t="n">
        <x:v>0</x:v>
      </x:c>
      <x:c r="I17" s="20" t="n">
        <x:v>351.37254901960785</x:v>
      </x:c>
      <x:c r="J17" s="20" t="n">
        <x:v>0</x:v>
      </x:c>
      <x:c r="K17" s="20" t="n">
        <x:v>0</x:v>
      </x:c>
      <x:c r="L17" s="20" t="n">
        <x:v>1921.5686274509803</x:v>
      </x:c>
      <x:c r="M17" s="20" t="n">
        <x:v>274.5098039215686</x:v>
      </x:c>
      <x:c r="N17" s="20" t="n">
        <x:v>3114.0392156862745</x:v>
      </x:c>
      <x:c r="O17" s="20" t="n">
        <x:v>3114.04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B001-R003 — Ayşe Demir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B001-R003</x:v>
      </x:c>
    </x:row>
    <x:row r="4">
      <x:c r="A4" s="7" t="str">
        <x:v>Ad Soyad</x:v>
      </x:c>
      <x:c r="B4" t="str">
        <x:v>Ayşe Demir</x:v>
      </x:c>
    </x:row>
    <x:row r="5">
      <x:c r="A5" s="7" t="str">
        <x:v>Daire No</x:v>
      </x:c>
      <x:c r="B5" t="n">
        <x:v>3</x:v>
      </x:c>
    </x:row>
    <x:row r="6">
      <x:c r="A6" s="7" t="str">
        <x:v>Net m²</x:v>
      </x:c>
      <x:c r="B6" s="14" t="n">
        <x:v>96</x:v>
      </x:c>
    </x:row>
    <x:row r="7">
      <x:c r="A7" s="7" t="str">
        <x:v>Ortak Gider Payı</x:v>
      </x:c>
      <x:c r="B7" s="16" t="n">
        <x:v>0.12549019607843137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194.50980392156862</x:v>
      </x:c>
      <x:c r="D11" s="20" t="n">
        <x:v>102.90196078431373</x:v>
      </x:c>
      <x:c r="E11" s="20" t="n">
        <x:v>263.52941176470586</x:v>
      </x:c>
      <x:c r="F11" s="20" t="n">
        <x:v>225.88235294117646</x:v>
      </x:c>
      <x:c r="G11" s="20" t="n">
        <x:v>0</x:v>
      </x:c>
      <x:c r="H11" s="20" t="n">
        <x:v>0</x:v>
      </x:c>
      <x:c r="I11" s="20" t="n">
        <x:v>351.37254901960785</x:v>
      </x:c>
      <x:c r="J11" s="20" t="n">
        <x:v>0</x:v>
      </x:c>
      <x:c r="K11" s="20" t="n">
        <x:v>0</x:v>
      </x:c>
      <x:c r="L11" s="20" t="n">
        <x:v>0</x:v>
      </x:c>
      <x:c r="M11" s="20" t="n">
        <x:v>313.72549019607845</x:v>
      </x:c>
      <x:c r="N11" s="20" t="n">
        <x:v>1451.921568627451</x:v>
      </x:c>
      <x:c r="O11" s="20" t="n">
        <x:v>1451.92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207.05882352941177</x:v>
      </x:c>
      <x:c r="D12" s="20" t="n">
        <x:v>106.66666666666667</x:v>
      </x:c>
      <x:c r="E12" s="20" t="n">
        <x:v>263.52941176470586</x:v>
      </x:c>
      <x:c r="F12" s="20" t="n">
        <x:v>0</x:v>
      </x:c>
      <x:c r="G12" s="20" t="n">
        <x:v>401.5686274509804</x:v>
      </x:c>
      <x:c r="H12" s="20" t="n">
        <x:v>0</x:v>
      </x:c>
      <x:c r="I12" s="20" t="n">
        <x:v>351.37254901960785</x:v>
      </x:c>
      <x:c r="J12" s="20" t="n">
        <x:v>0</x:v>
      </x:c>
      <x:c r="K12" s="20" t="n">
        <x:v>0</x:v>
      </x:c>
      <x:c r="L12" s="20" t="n">
        <x:v>0</x:v>
      </x:c>
      <x:c r="M12" s="20" t="n">
        <x:v>313.72549019607845</x:v>
      </x:c>
      <x:c r="N12" s="20" t="n">
        <x:v>1643.921568627451</x:v>
      </x:c>
      <x:c r="O12" s="20" t="n">
        <x:v>1643.92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216.47058823529412</x:v>
      </x:c>
      <x:c r="D13" s="20" t="n">
        <x:v>116.07843137254902</x:v>
      </x:c>
      <x:c r="E13" s="20" t="n">
        <x:v>263.52941176470586</x:v>
      </x:c>
      <x:c r="F13" s="20" t="n">
        <x:v>301.1764705882353</x:v>
      </x:c>
      <x:c r="G13" s="20" t="n">
        <x:v>0</x:v>
      </x:c>
      <x:c r="H13" s="20" t="n">
        <x:v>527.0588235294117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313.72549019607845</x:v>
      </x:c>
      <x:c r="N13" s="20" t="n">
        <x:v>1738.0392156862745</x:v>
      </x:c>
      <x:c r="O13" s="20" t="n">
        <x:v>1738.04</x:v>
      </x:c>
      <x:c r="P13" s="20" t="n">
        <x:v>0</x:v>
      </x:c>
      <x:c r="Q13" t="str">
        <x:v>Ödendi</x:v>
      </x:c>
    </x:row>
    <x:row r="14">
      <x:c r="A14" s="22" t="n">
        <x:v>46113</x:v>
      </x:c>
      <x:c r="B14" s="22" t="n">
        <x:v>46082</x:v>
      </x:c>
      <x:c r="C14" s="20" t="n">
        <x:v>198.27450980392157</x:v>
      </x:c>
      <x:c r="D14" s="20" t="n">
        <x:v>111.68627450980392</x:v>
      </x:c>
      <x:c r="E14" s="20" t="n">
        <x:v>263.52941176470586</x:v>
      </x:c>
      <x:c r="F14" s="20" t="n">
        <x:v>0</x:v>
      </x:c>
      <x:c r="G14" s="20" t="n">
        <x:v>0</x:v>
      </x:c>
      <x:c r="H14" s="20" t="n">
        <x:v>0</x:v>
      </x:c>
      <x:c r="I14" s="20" t="n">
        <x:v>376.4705882352941</x:v>
      </x:c>
      <x:c r="J14" s="20" t="n">
        <x:v>0</x:v>
      </x:c>
      <x:c r="K14" s="20" t="n">
        <x:v>476.8627450980392</x:v>
      </x:c>
      <x:c r="L14" s="20" t="n">
        <x:v>0</x:v>
      </x:c>
      <x:c r="M14" s="20" t="n">
        <x:v>313.72549019607845</x:v>
      </x:c>
      <x:c r="N14" s="20" t="n">
        <x:v>1740.549019607843</x:v>
      </x:c>
      <x:c r="O14" s="20" t="n">
        <x:v>1740.55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212.078431372549</x:v>
      </x:c>
      <x:c r="D15" s="20" t="n">
        <x:v>114.19607843137254</x:v>
      </x:c>
      <x:c r="E15" s="20" t="n">
        <x:v>276.078431372549</x:v>
      </x:c>
      <x:c r="F15" s="20" t="n">
        <x:v>0</x:v>
      </x:c>
      <x:c r="G15" s="20" t="n">
        <x:v>778.0392156862745</x:v>
      </x:c>
      <x:c r="H15" s="20" t="n">
        <x:v>0</x:v>
      </x:c>
      <x:c r="I15" s="20" t="n">
        <x:v>0</x:v>
      </x:c>
      <x:c r="J15" s="20" t="n">
        <x:v>326.27450980392155</x:v>
      </x:c>
      <x:c r="K15" s="20" t="n">
        <x:v>0</x:v>
      </x:c>
      <x:c r="L15" s="20" t="n">
        <x:v>0</x:v>
      </x:c>
      <x:c r="M15" s="20" t="n">
        <x:v>313.72549019607845</x:v>
      </x:c>
      <x:c r="N15" s="20" t="n">
        <x:v>2020.392156862745</x:v>
      </x:c>
      <x:c r="O15" s="20" t="n">
        <x:v>1010.2</x:v>
      </x:c>
      <x:c r="P15" s="20" t="n">
        <x:v>1010.19</x:v>
      </x:c>
      <x:c r="Q15" t="str">
        <x:v>Kısmi Ödeme</x:v>
      </x:c>
    </x:row>
    <x:row r="16">
      <x:c r="A16" s="22" t="n">
        <x:v>46174</x:v>
      </x:c>
      <x:c r="B16" s="22" t="n">
        <x:v>46143</x:v>
      </x:c>
      <x:c r="C16" s="20" t="n">
        <x:v>227.13725490196077</x:v>
      </x:c>
      <x:c r="D16" s="20" t="n">
        <x:v>122.98039215686275</x:v>
      </x:c>
      <x:c r="E16" s="20" t="n">
        <x:v>276.078431372549</x:v>
      </x:c>
      <x:c r="F16" s="20" t="n">
        <x:v>451.7647058823529</x:v>
      </x:c>
      <x:c r="G16" s="20" t="n">
        <x:v>0</x:v>
      </x:c>
      <x:c r="H16" s="20" t="n">
        <x:v>0</x:v>
      </x:c>
      <x:c r="I16" s="20" t="n">
        <x:v>376.4705882352941</x:v>
      </x:c>
      <x:c r="J16" s="20" t="n">
        <x:v>0</x:v>
      </x:c>
      <x:c r="K16" s="20" t="n">
        <x:v>0</x:v>
      </x:c>
      <x:c r="L16" s="20" t="n">
        <x:v>0</x:v>
      </x:c>
      <x:c r="M16" s="20" t="n">
        <x:v>313.72549019607845</x:v>
      </x:c>
      <x:c r="N16" s="20" t="n">
        <x:v>1768.156862745098</x:v>
      </x:c>
      <x:c r="O16" s="20" t="n">
        <x:v>1768.16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243.45098039215685</x:v>
      </x:c>
      <x:c r="D17" s="20" t="n">
        <x:v>128</x:v>
      </x:c>
      <x:c r="E17" s="20" t="n">
        <x:v>276.078431372549</x:v>
      </x:c>
      <x:c r="F17" s="20" t="n">
        <x:v>0</x:v>
      </x:c>
      <x:c r="G17" s="20" t="n">
        <x:v>0</x:v>
      </x:c>
      <x:c r="H17" s="20" t="n">
        <x:v>0</x:v>
      </x:c>
      <x:c r="I17" s="20" t="n">
        <x:v>401.5686274509804</x:v>
      </x:c>
      <x:c r="J17" s="20" t="n">
        <x:v>0</x:v>
      </x:c>
      <x:c r="K17" s="20" t="n">
        <x:v>0</x:v>
      </x:c>
      <x:c r="L17" s="20" t="n">
        <x:v>2196.078431372549</x:v>
      </x:c>
      <x:c r="M17" s="20" t="n">
        <x:v>313.72549019607845</x:v>
      </x:c>
      <x:c r="N17" s="20" t="n">
        <x:v>3558.901960784314</x:v>
      </x:c>
      <x:c r="O17" s="20" t="n">
        <x:v>3558.9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B001-R004 — Fatma Şahin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B001-R004</x:v>
      </x:c>
    </x:row>
    <x:row r="4">
      <x:c r="A4" s="7" t="str">
        <x:v>Ad Soyad</x:v>
      </x:c>
      <x:c r="B4" t="str">
        <x:v>Fatma Şahin</x:v>
      </x:c>
    </x:row>
    <x:row r="5">
      <x:c r="A5" s="7" t="str">
        <x:v>Daire No</x:v>
      </x:c>
      <x:c r="B5" t="n">
        <x:v>4</x:v>
      </x:c>
    </x:row>
    <x:row r="6">
      <x:c r="A6" s="7" t="str">
        <x:v>Net m²</x:v>
      </x:c>
      <x:c r="B6" s="14" t="n">
        <x:v>105</x:v>
      </x:c>
    </x:row>
    <x:row r="7">
      <x:c r="A7" s="7" t="str">
        <x:v>Ortak Gider Payı</x:v>
      </x:c>
      <x:c r="B7" s="16" t="n">
        <x:v>0.13725490196078433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212.7450980392157</x:v>
      </x:c>
      <x:c r="D11" s="20" t="n">
        <x:v>112.54901960784315</x:v>
      </x:c>
      <x:c r="E11" s="20" t="n">
        <x:v>288.2352941176471</x:v>
      </x:c>
      <x:c r="F11" s="20" t="n">
        <x:v>247.0588235294118</x:v>
      </x:c>
      <x:c r="G11" s="20" t="n">
        <x:v>0</x:v>
      </x:c>
      <x:c r="H11" s="20" t="n">
        <x:v>0</x:v>
      </x:c>
      <x:c r="I11" s="20" t="n">
        <x:v>384.31372549019613</x:v>
      </x:c>
      <x:c r="J11" s="20" t="n">
        <x:v>0</x:v>
      </x:c>
      <x:c r="K11" s="20" t="n">
        <x:v>0</x:v>
      </x:c>
      <x:c r="L11" s="20" t="n">
        <x:v>0</x:v>
      </x:c>
      <x:c r="M11" s="20" t="n">
        <x:v>343.13725490196083</x:v>
      </x:c>
      <x:c r="N11" s="20" t="n">
        <x:v>1588.0392156862747</x:v>
      </x:c>
      <x:c r="O11" s="20" t="n">
        <x:v>1588.04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226.47058823529414</x:v>
      </x:c>
      <x:c r="D12" s="20" t="n">
        <x:v>116.66666666666667</x:v>
      </x:c>
      <x:c r="E12" s="20" t="n">
        <x:v>288.2352941176471</x:v>
      </x:c>
      <x:c r="F12" s="20" t="n">
        <x:v>0</x:v>
      </x:c>
      <x:c r="G12" s="20" t="n">
        <x:v>439.21568627450984</x:v>
      </x:c>
      <x:c r="H12" s="20" t="n">
        <x:v>0</x:v>
      </x:c>
      <x:c r="I12" s="20" t="n">
        <x:v>384.31372549019613</x:v>
      </x:c>
      <x:c r="J12" s="20" t="n">
        <x:v>0</x:v>
      </x:c>
      <x:c r="K12" s="20" t="n">
        <x:v>0</x:v>
      </x:c>
      <x:c r="L12" s="20" t="n">
        <x:v>0</x:v>
      </x:c>
      <x:c r="M12" s="20" t="n">
        <x:v>343.13725490196083</x:v>
      </x:c>
      <x:c r="N12" s="20" t="n">
        <x:v>1798.0392156862747</x:v>
      </x:c>
      <x:c r="O12" s="20" t="n">
        <x:v>1798.04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236.76470588235296</x:v>
      </x:c>
      <x:c r="D13" s="20" t="n">
        <x:v>126.9607843137255</x:v>
      </x:c>
      <x:c r="E13" s="20" t="n">
        <x:v>288.2352941176471</x:v>
      </x:c>
      <x:c r="F13" s="20" t="n">
        <x:v>329.4117647058824</x:v>
      </x:c>
      <x:c r="G13" s="20" t="n">
        <x:v>0</x:v>
      </x:c>
      <x:c r="H13" s="20" t="n">
        <x:v>576.4705882352941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343.13725490196083</x:v>
      </x:c>
      <x:c r="N13" s="20" t="n">
        <x:v>1900.9803921568628</x:v>
      </x:c>
      <x:c r="O13" s="20" t="n">
        <x:v>1900.98</x:v>
      </x:c>
      <x:c r="P13" s="20" t="n">
        <x:v>0</x:v>
      </x:c>
      <x:c r="Q13" t="str">
        <x:v>Ödendi</x:v>
      </x:c>
    </x:row>
    <x:row r="14">
      <x:c r="A14" s="22" t="n">
        <x:v>46113</x:v>
      </x:c>
      <x:c r="B14" s="22" t="n">
        <x:v>46082</x:v>
      </x:c>
      <x:c r="C14" s="20" t="n">
        <x:v>216.86274509803923</x:v>
      </x:c>
      <x:c r="D14" s="20" t="n">
        <x:v>122.15686274509805</x:v>
      </x:c>
      <x:c r="E14" s="20" t="n">
        <x:v>288.2352941176471</x:v>
      </x:c>
      <x:c r="F14" s="20" t="n">
        <x:v>0</x:v>
      </x:c>
      <x:c r="G14" s="20" t="n">
        <x:v>0</x:v>
      </x:c>
      <x:c r="H14" s="20" t="n">
        <x:v>0</x:v>
      </x:c>
      <x:c r="I14" s="20" t="n">
        <x:v>411.764705882353</x:v>
      </x:c>
      <x:c r="J14" s="20" t="n">
        <x:v>0</x:v>
      </x:c>
      <x:c r="K14" s="20" t="n">
        <x:v>521.5686274509804</x:v>
      </x:c>
      <x:c r="L14" s="20" t="n">
        <x:v>0</x:v>
      </x:c>
      <x:c r="M14" s="20" t="n">
        <x:v>343.13725490196083</x:v>
      </x:c>
      <x:c r="N14" s="20" t="n">
        <x:v>1903.7254901960787</x:v>
      </x:c>
      <x:c r="O14" s="20" t="n">
        <x:v>1903.73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231.9607843137255</x:v>
      </x:c>
      <x:c r="D15" s="20" t="n">
        <x:v>124.90196078431373</x:v>
      </x:c>
      <x:c r="E15" s="20" t="n">
        <x:v>301.9607843137255</x:v>
      </x:c>
      <x:c r="F15" s="20" t="n">
        <x:v>0</x:v>
      </x:c>
      <x:c r="G15" s="20" t="n">
        <x:v>850.9803921568628</x:v>
      </x:c>
      <x:c r="H15" s="20" t="n">
        <x:v>0</x:v>
      </x:c>
      <x:c r="I15" s="20" t="n">
        <x:v>0</x:v>
      </x:c>
      <x:c r="J15" s="20" t="n">
        <x:v>356.8627450980392</x:v>
      </x:c>
      <x:c r="K15" s="20" t="n">
        <x:v>0</x:v>
      </x:c>
      <x:c r="L15" s="20" t="n">
        <x:v>0</x:v>
      </x:c>
      <x:c r="M15" s="20" t="n">
        <x:v>343.13725490196083</x:v>
      </x:c>
      <x:c r="N15" s="20" t="n">
        <x:v>2209.8039215686276</x:v>
      </x:c>
      <x:c r="O15" s="20" t="n">
        <x:v>2209.8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248.43137254901964</x:v>
      </x:c>
      <x:c r="D16" s="20" t="n">
        <x:v>134.50980392156865</x:v>
      </x:c>
      <x:c r="E16" s="20" t="n">
        <x:v>301.9607843137255</x:v>
      </x:c>
      <x:c r="F16" s="20" t="n">
        <x:v>494.1176470588236</x:v>
      </x:c>
      <x:c r="G16" s="20" t="n">
        <x:v>0</x:v>
      </x:c>
      <x:c r="H16" s="20" t="n">
        <x:v>0</x:v>
      </x:c>
      <x:c r="I16" s="20" t="n">
        <x:v>411.764705882353</x:v>
      </x:c>
      <x:c r="J16" s="20" t="n">
        <x:v>0</x:v>
      </x:c>
      <x:c r="K16" s="20" t="n">
        <x:v>0</x:v>
      </x:c>
      <x:c r="L16" s="20" t="n">
        <x:v>0</x:v>
      </x:c>
      <x:c r="M16" s="20" t="n">
        <x:v>343.13725490196083</x:v>
      </x:c>
      <x:c r="N16" s="20" t="n">
        <x:v>1933.9215686274513</x:v>
      </x:c>
      <x:c r="O16" s="20" t="n">
        <x:v>1933.92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266.2745098039216</x:v>
      </x:c>
      <x:c r="D17" s="20" t="n">
        <x:v>140</x:v>
      </x:c>
      <x:c r="E17" s="20" t="n">
        <x:v>301.9607843137255</x:v>
      </x:c>
      <x:c r="F17" s="20" t="n">
        <x:v>0</x:v>
      </x:c>
      <x:c r="G17" s="20" t="n">
        <x:v>0</x:v>
      </x:c>
      <x:c r="H17" s="20" t="n">
        <x:v>0</x:v>
      </x:c>
      <x:c r="I17" s="20" t="n">
        <x:v>439.21568627450984</x:v>
      </x:c>
      <x:c r="J17" s="20" t="n">
        <x:v>0</x:v>
      </x:c>
      <x:c r="K17" s="20" t="n">
        <x:v>0</x:v>
      </x:c>
      <x:c r="L17" s="20" t="n">
        <x:v>2401.9607843137255</x:v>
      </x:c>
      <x:c r="M17" s="20" t="n">
        <x:v>343.13725490196083</x:v>
      </x:c>
      <x:c r="N17" s="20" t="n">
        <x:v>3892.5490196078435</x:v>
      </x:c>
      <x:c r="O17" s="20" t="n">
        <x:v>3892.55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B001-R005 — Emre Çelik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B001-R005</x:v>
      </x:c>
    </x:row>
    <x:row r="4">
      <x:c r="A4" s="7" t="str">
        <x:v>Ad Soyad</x:v>
      </x:c>
      <x:c r="B4" t="str">
        <x:v>Emre Çelik</x:v>
      </x:c>
    </x:row>
    <x:row r="5">
      <x:c r="A5" s="7" t="str">
        <x:v>Daire No</x:v>
      </x:c>
      <x:c r="B5" t="n">
        <x:v>5</x:v>
      </x:c>
    </x:row>
    <x:row r="6">
      <x:c r="A6" s="7" t="str">
        <x:v>Net m²</x:v>
      </x:c>
      <x:c r="B6" s="14" t="n">
        <x:v>118</x:v>
      </x:c>
    </x:row>
    <x:row r="7">
      <x:c r="A7" s="7" t="str">
        <x:v>Ortak Gider Payı</x:v>
      </x:c>
      <x:c r="B7" s="16" t="n">
        <x:v>0.1542483660130719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239.08496732026146</x:v>
      </x:c>
      <x:c r="D11" s="20" t="n">
        <x:v>126.48366013071896</x:v>
      </x:c>
      <x:c r="E11" s="20" t="n">
        <x:v>323.921568627451</x:v>
      </x:c>
      <x:c r="F11" s="20" t="n">
        <x:v>277.64705882352945</x:v>
      </x:c>
      <x:c r="G11" s="20" t="n">
        <x:v>0</x:v>
      </x:c>
      <x:c r="H11" s="20" t="n">
        <x:v>0</x:v>
      </x:c>
      <x:c r="I11" s="20" t="n">
        <x:v>431.8954248366013</x:v>
      </x:c>
      <x:c r="J11" s="20" t="n">
        <x:v>0</x:v>
      </x:c>
      <x:c r="K11" s="20" t="n">
        <x:v>0</x:v>
      </x:c>
      <x:c r="L11" s="20" t="n">
        <x:v>0</x:v>
      </x:c>
      <x:c r="M11" s="20" t="n">
        <x:v>385.62091503267976</x:v>
      </x:c>
      <x:c r="N11" s="20" t="n">
        <x:v>1784.6535947712418</x:v>
      </x:c>
      <x:c r="O11" s="20" t="n">
        <x:v>1784.65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254.50980392156865</x:v>
      </x:c>
      <x:c r="D12" s="20" t="n">
        <x:v>131.11111111111111</x:v>
      </x:c>
      <x:c r="E12" s="20" t="n">
        <x:v>323.921568627451</x:v>
      </x:c>
      <x:c r="F12" s="20" t="n">
        <x:v>0</x:v>
      </x:c>
      <x:c r="G12" s="20" t="n">
        <x:v>493.5947712418301</x:v>
      </x:c>
      <x:c r="H12" s="20" t="n">
        <x:v>0</x:v>
      </x:c>
      <x:c r="I12" s="20" t="n">
        <x:v>431.8954248366013</x:v>
      </x:c>
      <x:c r="J12" s="20" t="n">
        <x:v>0</x:v>
      </x:c>
      <x:c r="K12" s="20" t="n">
        <x:v>0</x:v>
      </x:c>
      <x:c r="L12" s="20" t="n">
        <x:v>0</x:v>
      </x:c>
      <x:c r="M12" s="20" t="n">
        <x:v>385.62091503267976</x:v>
      </x:c>
      <x:c r="N12" s="20" t="n">
        <x:v>2020.6535947712418</x:v>
      </x:c>
      <x:c r="O12" s="20" t="n">
        <x:v>2020.65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266.078431372549</x:v>
      </x:c>
      <x:c r="D13" s="20" t="n">
        <x:v>142.6797385620915</x:v>
      </x:c>
      <x:c r="E13" s="20" t="n">
        <x:v>323.921568627451</x:v>
      </x:c>
      <x:c r="F13" s="20" t="n">
        <x:v>370.19607843137254</x:v>
      </x:c>
      <x:c r="G13" s="20" t="n">
        <x:v>0</x:v>
      </x:c>
      <x:c r="H13" s="20" t="n">
        <x:v>647.843137254902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385.62091503267976</x:v>
      </x:c>
      <x:c r="N13" s="20" t="n">
        <x:v>2136.3398692810456</x:v>
      </x:c>
      <x:c r="O13" s="20" t="n">
        <x:v>2136.34</x:v>
      </x:c>
      <x:c r="P13" s="20" t="n">
        <x:v>0</x:v>
      </x:c>
      <x:c r="Q13" t="str">
        <x:v>Ödendi</x:v>
      </x:c>
    </x:row>
    <x:row r="14">
      <x:c r="A14" s="22" t="n">
        <x:v>46113</x:v>
      </x:c>
      <x:c r="B14" s="22" t="n">
        <x:v>46082</x:v>
      </x:c>
      <x:c r="C14" s="20" t="n">
        <x:v>243.7124183006536</x:v>
      </x:c>
      <x:c r="D14" s="20" t="n">
        <x:v>137.281045751634</x:v>
      </x:c>
      <x:c r="E14" s="20" t="n">
        <x:v>323.921568627451</x:v>
      </x:c>
      <x:c r="F14" s="20" t="n">
        <x:v>0</x:v>
      </x:c>
      <x:c r="G14" s="20" t="n">
        <x:v>0</x:v>
      </x:c>
      <x:c r="H14" s="20" t="n">
        <x:v>0</x:v>
      </x:c>
      <x:c r="I14" s="20" t="n">
        <x:v>462.7450980392157</x:v>
      </x:c>
      <x:c r="J14" s="20" t="n">
        <x:v>0</x:v>
      </x:c>
      <x:c r="K14" s="20" t="n">
        <x:v>586.1437908496732</x:v>
      </x:c>
      <x:c r="L14" s="20" t="n">
        <x:v>0</x:v>
      </x:c>
      <x:c r="M14" s="20" t="n">
        <x:v>385.62091503267976</x:v>
      </x:c>
      <x:c r="N14" s="20" t="n">
        <x:v>2139.424836601307</x:v>
      </x:c>
      <x:c r="O14" s="20" t="n">
        <x:v>2139.42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260.67973856209153</x:v>
      </x:c>
      <x:c r="D15" s="20" t="n">
        <x:v>140.36601307189542</x:v>
      </x:c>
      <x:c r="E15" s="20" t="n">
        <x:v>339.34640522875816</x:v>
      </x:c>
      <x:c r="F15" s="20" t="n">
        <x:v>0</x:v>
      </x:c>
      <x:c r="G15" s="20" t="n">
        <x:v>956.3398692810458</x:v>
      </x:c>
      <x:c r="H15" s="20" t="n">
        <x:v>0</x:v>
      </x:c>
      <x:c r="I15" s="20" t="n">
        <x:v>0</x:v>
      </x:c>
      <x:c r="J15" s="20" t="n">
        <x:v>401.0457516339869</x:v>
      </x:c>
      <x:c r="K15" s="20" t="n">
        <x:v>0</x:v>
      </x:c>
      <x:c r="L15" s="20" t="n">
        <x:v>0</x:v>
      </x:c>
      <x:c r="M15" s="20" t="n">
        <x:v>385.62091503267976</x:v>
      </x:c>
      <x:c r="N15" s="20" t="n">
        <x:v>2483.3986928104578</x:v>
      </x:c>
      <x:c r="O15" s="20" t="n">
        <x:v>2483.4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279.18954248366015</x:v>
      </x:c>
      <x:c r="D16" s="20" t="n">
        <x:v>151.16339869281046</x:v>
      </x:c>
      <x:c r="E16" s="20" t="n">
        <x:v>339.34640522875816</x:v>
      </x:c>
      <x:c r="F16" s="20" t="n">
        <x:v>555.2941176470589</x:v>
      </x:c>
      <x:c r="G16" s="20" t="n">
        <x:v>0</x:v>
      </x:c>
      <x:c r="H16" s="20" t="n">
        <x:v>0</x:v>
      </x:c>
      <x:c r="I16" s="20" t="n">
        <x:v>462.7450980392157</x:v>
      </x:c>
      <x:c r="J16" s="20" t="n">
        <x:v>0</x:v>
      </x:c>
      <x:c r="K16" s="20" t="n">
        <x:v>0</x:v>
      </x:c>
      <x:c r="L16" s="20" t="n">
        <x:v>0</x:v>
      </x:c>
      <x:c r="M16" s="20" t="n">
        <x:v>385.62091503267976</x:v>
      </x:c>
      <x:c r="N16" s="20" t="n">
        <x:v>2173.3594771241833</x:v>
      </x:c>
      <x:c r="O16" s="20" t="n">
        <x:v>2173.36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299.24183006535947</x:v>
      </x:c>
      <x:c r="D17" s="20" t="n">
        <x:v>157.33333333333334</x:v>
      </x:c>
      <x:c r="E17" s="20" t="n">
        <x:v>339.34640522875816</x:v>
      </x:c>
      <x:c r="F17" s="20" t="n">
        <x:v>0</x:v>
      </x:c>
      <x:c r="G17" s="20" t="n">
        <x:v>0</x:v>
      </x:c>
      <x:c r="H17" s="20" t="n">
        <x:v>0</x:v>
      </x:c>
      <x:c r="I17" s="20" t="n">
        <x:v>493.5947712418301</x:v>
      </x:c>
      <x:c r="J17" s="20" t="n">
        <x:v>0</x:v>
      </x:c>
      <x:c r="K17" s="20" t="n">
        <x:v>0</x:v>
      </x:c>
      <x:c r="L17" s="20" t="n">
        <x:v>2699.346405228758</x:v>
      </x:c>
      <x:c r="M17" s="20" t="n">
        <x:v>385.62091503267976</x:v>
      </x:c>
      <x:c r="N17" s="20" t="n">
        <x:v>4374.483660130719</x:v>
      </x:c>
      <x:c r="O17" s="20" t="n">
        <x:v>0</x:v>
      </x:c>
      <x:c r="P17" s="20" t="n">
        <x:v>4374.48</x:v>
      </x:c>
      <x:c r="Q17" t="str">
        <x:v>Ödenmedi</x:v>
      </x:c>
    </x:row>
  </x:sheetData>
  <x:mergeCells>
    <x:mergeCell ref="A1:Q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B001-R006 — Selin Aydın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B001-R006</x:v>
      </x:c>
    </x:row>
    <x:row r="4">
      <x:c r="A4" s="7" t="str">
        <x:v>Ad Soyad</x:v>
      </x:c>
      <x:c r="B4" t="str">
        <x:v>Selin Aydın</x:v>
      </x:c>
    </x:row>
    <x:row r="5">
      <x:c r="A5" s="7" t="str">
        <x:v>Daire No</x:v>
      </x:c>
      <x:c r="B5" t="n">
        <x:v>6</x:v>
      </x:c>
    </x:row>
    <x:row r="6">
      <x:c r="A6" s="7" t="str">
        <x:v>Net m²</x:v>
      </x:c>
      <x:c r="B6" s="14" t="n">
        <x:v>132</x:v>
      </x:c>
    </x:row>
    <x:row r="7">
      <x:c r="A7" s="7" t="str">
        <x:v>Ortak Gider Payı</x:v>
      </x:c>
      <x:c r="B7" s="16" t="n">
        <x:v>0.17254901960784313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267.45098039215685</x:v>
      </x:c>
      <x:c r="D11" s="20" t="n">
        <x:v>141.49019607843138</x:v>
      </x:c>
      <x:c r="E11" s="20" t="n">
        <x:v>362.3529411764706</x:v>
      </x:c>
      <x:c r="F11" s="20" t="n">
        <x:v>310.5882352941176</x:v>
      </x:c>
      <x:c r="G11" s="20" t="n">
        <x:v>0</x:v>
      </x:c>
      <x:c r="H11" s="20" t="n">
        <x:v>0</x:v>
      </x:c>
      <x:c r="I11" s="20" t="n">
        <x:v>483.1372549019608</x:v>
      </x:c>
      <x:c r="J11" s="20" t="n">
        <x:v>0</x:v>
      </x:c>
      <x:c r="K11" s="20" t="n">
        <x:v>0</x:v>
      </x:c>
      <x:c r="L11" s="20" t="n">
        <x:v>0</x:v>
      </x:c>
      <x:c r="M11" s="20" t="n">
        <x:v>431.37254901960785</x:v>
      </x:c>
      <x:c r="N11" s="20" t="n">
        <x:v>1996.3921568627452</x:v>
      </x:c>
      <x:c r="O11" s="20" t="n">
        <x:v>1996.39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284.70588235294116</x:v>
      </x:c>
      <x:c r="D12" s="20" t="n">
        <x:v>146.66666666666666</x:v>
      </x:c>
      <x:c r="E12" s="20" t="n">
        <x:v>362.3529411764706</x:v>
      </x:c>
      <x:c r="F12" s="20" t="n">
        <x:v>0</x:v>
      </x:c>
      <x:c r="G12" s="20" t="n">
        <x:v>552.156862745098</x:v>
      </x:c>
      <x:c r="H12" s="20" t="n">
        <x:v>0</x:v>
      </x:c>
      <x:c r="I12" s="20" t="n">
        <x:v>483.1372549019608</x:v>
      </x:c>
      <x:c r="J12" s="20" t="n">
        <x:v>0</x:v>
      </x:c>
      <x:c r="K12" s="20" t="n">
        <x:v>0</x:v>
      </x:c>
      <x:c r="L12" s="20" t="n">
        <x:v>0</x:v>
      </x:c>
      <x:c r="M12" s="20" t="n">
        <x:v>431.37254901960785</x:v>
      </x:c>
      <x:c r="N12" s="20" t="n">
        <x:v>2260.392156862745</x:v>
      </x:c>
      <x:c r="O12" s="20" t="n">
        <x:v>2260.39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297.6470588235294</x:v>
      </x:c>
      <x:c r="D13" s="20" t="n">
        <x:v>159.6078431372549</x:v>
      </x:c>
      <x:c r="E13" s="20" t="n">
        <x:v>362.3529411764706</x:v>
      </x:c>
      <x:c r="F13" s="20" t="n">
        <x:v>414.11764705882354</x:v>
      </x:c>
      <x:c r="G13" s="20" t="n">
        <x:v>0</x:v>
      </x:c>
      <x:c r="H13" s="20" t="n">
        <x:v>724.7058823529412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431.37254901960785</x:v>
      </x:c>
      <x:c r="N13" s="20" t="n">
        <x:v>2389.8039215686276</x:v>
      </x:c>
      <x:c r="O13" s="20" t="n">
        <x:v>0</x:v>
      </x:c>
      <x:c r="P13" s="20" t="n">
        <x:v>2389.8</x:v>
      </x:c>
      <x:c r="Q13" t="str">
        <x:v>Ödenmedi</x:v>
      </x:c>
    </x:row>
    <x:row r="14">
      <x:c r="A14" s="22" t="n">
        <x:v>46113</x:v>
      </x:c>
      <x:c r="B14" s="22" t="n">
        <x:v>46082</x:v>
      </x:c>
      <x:c r="C14" s="20" t="n">
        <x:v>272.62745098039215</x:v>
      </x:c>
      <x:c r="D14" s="20" t="n">
        <x:v>153.5686274509804</x:v>
      </x:c>
      <x:c r="E14" s="20" t="n">
        <x:v>362.3529411764706</x:v>
      </x:c>
      <x:c r="F14" s="20" t="n">
        <x:v>0</x:v>
      </x:c>
      <x:c r="G14" s="20" t="n">
        <x:v>0</x:v>
      </x:c>
      <x:c r="H14" s="20" t="n">
        <x:v>0</x:v>
      </x:c>
      <x:c r="I14" s="20" t="n">
        <x:v>517.6470588235294</x:v>
      </x:c>
      <x:c r="J14" s="20" t="n">
        <x:v>0</x:v>
      </x:c>
      <x:c r="K14" s="20" t="n">
        <x:v>655.6862745098039</x:v>
      </x:c>
      <x:c r="L14" s="20" t="n">
        <x:v>0</x:v>
      </x:c>
      <x:c r="M14" s="20" t="n">
        <x:v>431.37254901960785</x:v>
      </x:c>
      <x:c r="N14" s="20" t="n">
        <x:v>2393.254901960784</x:v>
      </x:c>
      <x:c r="O14" s="20" t="n">
        <x:v>2393.25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291.6078431372549</x:v>
      </x:c>
      <x:c r="D15" s="20" t="n">
        <x:v>157.01960784313727</x:v>
      </x:c>
      <x:c r="E15" s="20" t="n">
        <x:v>379.6078431372549</x:v>
      </x:c>
      <x:c r="F15" s="20" t="n">
        <x:v>0</x:v>
      </x:c>
      <x:c r="G15" s="20" t="n">
        <x:v>1069.8039215686274</x:v>
      </x:c>
      <x:c r="H15" s="20" t="n">
        <x:v>0</x:v>
      </x:c>
      <x:c r="I15" s="20" t="n">
        <x:v>0</x:v>
      </x:c>
      <x:c r="J15" s="20" t="n">
        <x:v>448.62745098039215</x:v>
      </x:c>
      <x:c r="K15" s="20" t="n">
        <x:v>0</x:v>
      </x:c>
      <x:c r="L15" s="20" t="n">
        <x:v>0</x:v>
      </x:c>
      <x:c r="M15" s="20" t="n">
        <x:v>431.37254901960785</x:v>
      </x:c>
      <x:c r="N15" s="20" t="n">
        <x:v>2778.0392156862745</x:v>
      </x:c>
      <x:c r="O15" s="20" t="n">
        <x:v>2778.04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312.3137254901961</x:v>
      </x:c>
      <x:c r="D16" s="20" t="n">
        <x:v>169.09803921568627</x:v>
      </x:c>
      <x:c r="E16" s="20" t="n">
        <x:v>379.6078431372549</x:v>
      </x:c>
      <x:c r="F16" s="20" t="n">
        <x:v>621.1764705882352</x:v>
      </x:c>
      <x:c r="G16" s="20" t="n">
        <x:v>0</x:v>
      </x:c>
      <x:c r="H16" s="20" t="n">
        <x:v>0</x:v>
      </x:c>
      <x:c r="I16" s="20" t="n">
        <x:v>517.6470588235294</x:v>
      </x:c>
      <x:c r="J16" s="20" t="n">
        <x:v>0</x:v>
      </x:c>
      <x:c r="K16" s="20" t="n">
        <x:v>0</x:v>
      </x:c>
      <x:c r="L16" s="20" t="n">
        <x:v>0</x:v>
      </x:c>
      <x:c r="M16" s="20" t="n">
        <x:v>431.37254901960785</x:v>
      </x:c>
      <x:c r="N16" s="20" t="n">
        <x:v>2431.2156862745096</x:v>
      </x:c>
      <x:c r="O16" s="20" t="n">
        <x:v>2431.22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334.7450980392157</x:v>
      </x:c>
      <x:c r="D17" s="20" t="n">
        <x:v>176</x:v>
      </x:c>
      <x:c r="E17" s="20" t="n">
        <x:v>379.6078431372549</x:v>
      </x:c>
      <x:c r="F17" s="20" t="n">
        <x:v>0</x:v>
      </x:c>
      <x:c r="G17" s="20" t="n">
        <x:v>0</x:v>
      </x:c>
      <x:c r="H17" s="20" t="n">
        <x:v>0</x:v>
      </x:c>
      <x:c r="I17" s="20" t="n">
        <x:v>552.156862745098</x:v>
      </x:c>
      <x:c r="J17" s="20" t="n">
        <x:v>0</x:v>
      </x:c>
      <x:c r="K17" s="20" t="n">
        <x:v>0</x:v>
      </x:c>
      <x:c r="L17" s="20" t="n">
        <x:v>3019.607843137255</x:v>
      </x:c>
      <x:c r="M17" s="20" t="n">
        <x:v>431.37254901960785</x:v>
      </x:c>
      <x:c r="N17" s="20" t="n">
        <x:v>4893.490196078431</x:v>
      </x:c>
      <x:c r="O17" s="20" t="n">
        <x:v>4893.49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3" t="str">
        <x:v>B001-R007 — Cem Arslan — Aidat Detayı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7" t="str">
        <x:v>Resident Kodu</x:v>
      </x:c>
      <x:c r="B3" t="str">
        <x:v>B001-R007</x:v>
      </x:c>
    </x:row>
    <x:row r="4">
      <x:c r="A4" s="7" t="str">
        <x:v>Ad Soyad</x:v>
      </x:c>
      <x:c r="B4" t="str">
        <x:v>Cem Arslan</x:v>
      </x:c>
    </x:row>
    <x:row r="5">
      <x:c r="A5" s="7" t="str">
        <x:v>Daire No</x:v>
      </x:c>
      <x:c r="B5" t="n">
        <x:v>7</x:v>
      </x:c>
    </x:row>
    <x:row r="6">
      <x:c r="A6" s="7" t="str">
        <x:v>Net m²</x:v>
      </x:c>
      <x:c r="B6" s="14" t="n">
        <x:v>158</x:v>
      </x:c>
    </x:row>
    <x:row r="7">
      <x:c r="A7" s="7" t="str">
        <x:v>Ortak Gider Payı</x:v>
      </x:c>
      <x:c r="B7" s="16" t="n">
        <x:v>0.2065359477124183</x:v>
      </x:c>
    </x:row>
    <x:row r="10">
      <x:c r="A10" s="9" t="str">
        <x:v>Aidat Ayı</x:v>
      </x:c>
      <x:c r="B10" s="9" t="str">
        <x:v>Baz Gider Ayı</x:v>
      </x:c>
      <x:c r="C10" s="9" t="str">
        <x:v>Ortak Alan Elektrik</x:v>
      </x:c>
      <x:c r="D10" s="9" t="str">
        <x:v>Ortak Alan Su</x:v>
      </x:c>
      <x:c r="E10" s="9" t="str">
        <x:v>Asansör Bakımı</x:v>
      </x:c>
      <x:c r="F10" s="9" t="str">
        <x:v>Jeneratör Bakımı</x:v>
      </x:c>
      <x:c r="G10" s="9" t="str">
        <x:v>Hidrofor Bakımı</x:v>
      </x:c>
      <x:c r="H10" s="9" t="str">
        <x:v>Yangın Sistemleri</x:v>
      </x:c>
      <x:c r="I10" s="9" t="str">
        <x:v>Temizlik</x:v>
      </x:c>
      <x:c r="J10" s="9" t="str">
        <x:v>Bahçe Bakımı</x:v>
      </x:c>
      <x:c r="K10" s="9" t="str">
        <x:v>Onarım</x:v>
      </x:c>
      <x:c r="L10" s="9" t="str">
        <x:v>Çatı Bakımı</x:v>
      </x:c>
      <x:c r="M10" s="9" t="str">
        <x:v>Yönetim Hizmeti</x:v>
      </x:c>
      <x:c r="N10" s="9" t="str">
        <x:v>Toplam Aidat</x:v>
      </x:c>
      <x:c r="O10" s="9" t="str">
        <x:v>Ödenen</x:v>
      </x:c>
      <x:c r="P10" s="9" t="str">
        <x:v>Kalan Borç</x:v>
      </x:c>
      <x:c r="Q10" s="9" t="str">
        <x:v>Durum</x:v>
      </x:c>
    </x:row>
    <x:row r="11">
      <x:c r="A11" s="22" t="n">
        <x:v>46023</x:v>
      </x:c>
      <x:c r="B11" s="22" t="n">
        <x:v>45992</x:v>
      </x:c>
      <x:c r="C11" s="20" t="n">
        <x:v>320.1307189542483</x:v>
      </x:c>
      <x:c r="D11" s="20" t="n">
        <x:v>169.359477124183</x:v>
      </x:c>
      <x:c r="E11" s="20" t="n">
        <x:v>433.7254901960784</x:v>
      </x:c>
      <x:c r="F11" s="20" t="n">
        <x:v>371.7647058823529</x:v>
      </x:c>
      <x:c r="G11" s="20" t="n">
        <x:v>0</x:v>
      </x:c>
      <x:c r="H11" s="20" t="n">
        <x:v>0</x:v>
      </x:c>
      <x:c r="I11" s="20" t="n">
        <x:v>578.3006535947712</x:v>
      </x:c>
      <x:c r="J11" s="20" t="n">
        <x:v>0</x:v>
      </x:c>
      <x:c r="K11" s="20" t="n">
        <x:v>0</x:v>
      </x:c>
      <x:c r="L11" s="20" t="n">
        <x:v>0</x:v>
      </x:c>
      <x:c r="M11" s="20" t="n">
        <x:v>516.3398692810457</x:v>
      </x:c>
      <x:c r="N11" s="20" t="n">
        <x:v>2389.6209150326795</x:v>
      </x:c>
      <x:c r="O11" s="20" t="n">
        <x:v>2389.62</x:v>
      </x:c>
      <x:c r="P11" s="20" t="n">
        <x:v>0</x:v>
      </x:c>
      <x:c r="Q11" t="str">
        <x:v>Ödendi</x:v>
      </x:c>
    </x:row>
    <x:row r="12">
      <x:c r="A12" s="22" t="n">
        <x:v>46054</x:v>
      </x:c>
      <x:c r="B12" s="22" t="n">
        <x:v>46023</x:v>
      </x:c>
      <x:c r="C12" s="20" t="n">
        <x:v>340.78431372549016</x:v>
      </x:c>
      <x:c r="D12" s="20" t="n">
        <x:v>175.55555555555554</x:v>
      </x:c>
      <x:c r="E12" s="20" t="n">
        <x:v>433.7254901960784</x:v>
      </x:c>
      <x:c r="F12" s="20" t="n">
        <x:v>0</x:v>
      </x:c>
      <x:c r="G12" s="20" t="n">
        <x:v>660.9150326797385</x:v>
      </x:c>
      <x:c r="H12" s="20" t="n">
        <x:v>0</x:v>
      </x:c>
      <x:c r="I12" s="20" t="n">
        <x:v>578.3006535947712</x:v>
      </x:c>
      <x:c r="J12" s="20" t="n">
        <x:v>0</x:v>
      </x:c>
      <x:c r="K12" s="20" t="n">
        <x:v>0</x:v>
      </x:c>
      <x:c r="L12" s="20" t="n">
        <x:v>0</x:v>
      </x:c>
      <x:c r="M12" s="20" t="n">
        <x:v>516.3398692810457</x:v>
      </x:c>
      <x:c r="N12" s="20" t="n">
        <x:v>2705.6209150326795</x:v>
      </x:c>
      <x:c r="O12" s="20" t="n">
        <x:v>2705.62</x:v>
      </x:c>
      <x:c r="P12" s="20" t="n">
        <x:v>0</x:v>
      </x:c>
      <x:c r="Q12" t="str">
        <x:v>Ödendi</x:v>
      </x:c>
    </x:row>
    <x:row r="13">
      <x:c r="A13" s="22" t="n">
        <x:v>46082</x:v>
      </x:c>
      <x:c r="B13" s="22" t="n">
        <x:v>46054</x:v>
      </x:c>
      <x:c r="C13" s="20" t="n">
        <x:v>356.27450980392155</x:v>
      </x:c>
      <x:c r="D13" s="20" t="n">
        <x:v>191.04575163398692</x:v>
      </x:c>
      <x:c r="E13" s="20" t="n">
        <x:v>433.7254901960784</x:v>
      </x:c>
      <x:c r="F13" s="20" t="n">
        <x:v>495.68627450980387</x:v>
      </x:c>
      <x:c r="G13" s="20" t="n">
        <x:v>0</x:v>
      </x:c>
      <x:c r="H13" s="20" t="n">
        <x:v>867.4509803921568</x:v>
      </x:c>
      <x:c r="I13" s="20" t="n">
        <x:v>0</x:v>
      </x:c>
      <x:c r="J13" s="20" t="n">
        <x:v>0</x:v>
      </x:c>
      <x:c r="K13" s="20" t="n">
        <x:v>0</x:v>
      </x:c>
      <x:c r="L13" s="20" t="n">
        <x:v>0</x:v>
      </x:c>
      <x:c r="M13" s="20" t="n">
        <x:v>516.3398692810457</x:v>
      </x:c>
      <x:c r="N13" s="20" t="n">
        <x:v>2860.5228758169933</x:v>
      </x:c>
      <x:c r="O13" s="20" t="n">
        <x:v>2860.52</x:v>
      </x:c>
      <x:c r="P13" s="20" t="n">
        <x:v>0</x:v>
      </x:c>
      <x:c r="Q13" t="str">
        <x:v>Ödendi</x:v>
      </x:c>
    </x:row>
    <x:row r="14">
      <x:c r="A14" s="22" t="n">
        <x:v>46113</x:v>
      </x:c>
      <x:c r="B14" s="22" t="n">
        <x:v>46082</x:v>
      </x:c>
      <x:c r="C14" s="20" t="n">
        <x:v>326.3267973856209</x:v>
      </x:c>
      <x:c r="D14" s="20" t="n">
        <x:v>183.81699346405227</x:v>
      </x:c>
      <x:c r="E14" s="20" t="n">
        <x:v>433.7254901960784</x:v>
      </x:c>
      <x:c r="F14" s="20" t="n">
        <x:v>0</x:v>
      </x:c>
      <x:c r="G14" s="20" t="n">
        <x:v>0</x:v>
      </x:c>
      <x:c r="H14" s="20" t="n">
        <x:v>0</x:v>
      </x:c>
      <x:c r="I14" s="20" t="n">
        <x:v>619.6078431372549</x:v>
      </x:c>
      <x:c r="J14" s="20" t="n">
        <x:v>0</x:v>
      </x:c>
      <x:c r="K14" s="20" t="n">
        <x:v>784.8366013071895</x:v>
      </x:c>
      <x:c r="L14" s="20" t="n">
        <x:v>0</x:v>
      </x:c>
      <x:c r="M14" s="20" t="n">
        <x:v>516.3398692810457</x:v>
      </x:c>
      <x:c r="N14" s="20" t="n">
        <x:v>2864.653594771242</x:v>
      </x:c>
      <x:c r="O14" s="20" t="n">
        <x:v>2864.65</x:v>
      </x:c>
      <x:c r="P14" s="20" t="n">
        <x:v>0</x:v>
      </x:c>
      <x:c r="Q14" t="str">
        <x:v>Ödendi</x:v>
      </x:c>
    </x:row>
    <x:row r="15">
      <x:c r="A15" s="22" t="n">
        <x:v>46143</x:v>
      </x:c>
      <x:c r="B15" s="22" t="n">
        <x:v>46113</x:v>
      </x:c>
      <x:c r="C15" s="20" t="n">
        <x:v>349.0457516339869</x:v>
      </x:c>
      <x:c r="D15" s="20" t="n">
        <x:v>187.94771241830065</x:v>
      </x:c>
      <x:c r="E15" s="20" t="n">
        <x:v>454.37908496732024</x:v>
      </x:c>
      <x:c r="F15" s="20" t="n">
        <x:v>0</x:v>
      </x:c>
      <x:c r="G15" s="20" t="n">
        <x:v>1280.5228758169933</x:v>
      </x:c>
      <x:c r="H15" s="20" t="n">
        <x:v>0</x:v>
      </x:c>
      <x:c r="I15" s="20" t="n">
        <x:v>0</x:v>
      </x:c>
      <x:c r="J15" s="20" t="n">
        <x:v>536.9934640522875</x:v>
      </x:c>
      <x:c r="K15" s="20" t="n">
        <x:v>0</x:v>
      </x:c>
      <x:c r="L15" s="20" t="n">
        <x:v>0</x:v>
      </x:c>
      <x:c r="M15" s="20" t="n">
        <x:v>516.3398692810457</x:v>
      </x:c>
      <x:c r="N15" s="20" t="n">
        <x:v>3325.2287581699343</x:v>
      </x:c>
      <x:c r="O15" s="20" t="n">
        <x:v>3325.23</x:v>
      </x:c>
      <x:c r="P15" s="20" t="n">
        <x:v>0</x:v>
      </x:c>
      <x:c r="Q15" t="str">
        <x:v>Ödendi</x:v>
      </x:c>
    </x:row>
    <x:row r="16">
      <x:c r="A16" s="22" t="n">
        <x:v>46174</x:v>
      </x:c>
      <x:c r="B16" s="22" t="n">
        <x:v>46143</x:v>
      </x:c>
      <x:c r="C16" s="20" t="n">
        <x:v>373.8300653594771</x:v>
      </x:c>
      <x:c r="D16" s="20" t="n">
        <x:v>202.40522875816993</x:v>
      </x:c>
      <x:c r="E16" s="20" t="n">
        <x:v>454.37908496732024</x:v>
      </x:c>
      <x:c r="F16" s="20" t="n">
        <x:v>743.5294117647059</x:v>
      </x:c>
      <x:c r="G16" s="20" t="n">
        <x:v>0</x:v>
      </x:c>
      <x:c r="H16" s="20" t="n">
        <x:v>0</x:v>
      </x:c>
      <x:c r="I16" s="20" t="n">
        <x:v>619.6078431372549</x:v>
      </x:c>
      <x:c r="J16" s="20" t="n">
        <x:v>0</x:v>
      </x:c>
      <x:c r="K16" s="20" t="n">
        <x:v>0</x:v>
      </x:c>
      <x:c r="L16" s="20" t="n">
        <x:v>0</x:v>
      </x:c>
      <x:c r="M16" s="20" t="n">
        <x:v>516.3398692810457</x:v>
      </x:c>
      <x:c r="N16" s="20" t="n">
        <x:v>2910.0915032679736</x:v>
      </x:c>
      <x:c r="O16" s="20" t="n">
        <x:v>2910.09</x:v>
      </x:c>
      <x:c r="P16" s="20" t="n">
        <x:v>0</x:v>
      </x:c>
      <x:c r="Q16" t="str">
        <x:v>Ödendi</x:v>
      </x:c>
    </x:row>
    <x:row r="17">
      <x:c r="A17" s="22" t="n">
        <x:v>46204</x:v>
      </x:c>
      <x:c r="B17" s="22" t="n">
        <x:v>46174</x:v>
      </x:c>
      <x:c r="C17" s="20" t="n">
        <x:v>400.6797385620915</x:v>
      </x:c>
      <x:c r="D17" s="20" t="n">
        <x:v>210.66666666666666</x:v>
      </x:c>
      <x:c r="E17" s="20" t="n">
        <x:v>454.37908496732024</x:v>
      </x:c>
      <x:c r="F17" s="20" t="n">
        <x:v>0</x:v>
      </x:c>
      <x:c r="G17" s="20" t="n">
        <x:v>0</x:v>
      </x:c>
      <x:c r="H17" s="20" t="n">
        <x:v>0</x:v>
      </x:c>
      <x:c r="I17" s="20" t="n">
        <x:v>660.9150326797385</x:v>
      </x:c>
      <x:c r="J17" s="20" t="n">
        <x:v>0</x:v>
      </x:c>
      <x:c r="K17" s="20" t="n">
        <x:v>0</x:v>
      </x:c>
      <x:c r="L17" s="20" t="n">
        <x:v>3614.37908496732</x:v>
      </x:c>
      <x:c r="M17" s="20" t="n">
        <x:v>516.3398692810457</x:v>
      </x:c>
      <x:c r="N17" s="20" t="n">
        <x:v>5857.359477124182</x:v>
      </x:c>
      <x:c r="O17" s="20" t="n">
        <x:v>5857.36</x:v>
      </x:c>
      <x:c r="P17" s="20" t="n">
        <x:v>0</x:v>
      </x:c>
      <x:c r="Q17" t="str">
        <x:v>Ödendi</x:v>
      </x:c>
    </x:row>
  </x:sheetData>
  <x:mergeCells>
    <x:mergeCell ref="A1:Q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 ht="30" customHeight="1">
      <x:c r="A1" s="3" t="str">
        <x:v>Çınar Apartmanı — Değişken Aidat Demo</x:v>
      </x:c>
      <x:c r="B1" s="3"/>
      <x:c r="C1" s="3"/>
      <x:c r="D1" s="3"/>
      <x:c r="E1" s="3"/>
      <x:c r="F1" s="3"/>
    </x:row>
    <x:row r="3">
      <x:c r="A3" s="7" t="str">
        <x:v>Bina Kodu</x:v>
      </x:c>
      <x:c r="B3" t="str">
        <x:v>B001</x:v>
      </x:c>
    </x:row>
    <x:row r="4">
      <x:c r="A4" s="7" t="str">
        <x:v>Bina</x:v>
      </x:c>
      <x:c r="B4" t="str">
        <x:v>Çınar Apartmanı</x:v>
      </x:c>
    </x:row>
    <x:row r="5">
      <x:c r="A5" s="7" t="str">
        <x:v>Daire Sayısı</x:v>
      </x:c>
      <x:c r="B5" t="n">
        <x:v>7</x:v>
      </x:c>
    </x:row>
    <x:row r="6">
      <x:c r="A6" s="7" t="str">
        <x:v>Toplam Net Alan</x:v>
      </x:c>
      <x:c r="B6" t="n">
        <x:v>765</x:v>
      </x:c>
    </x:row>
    <x:row r="7">
      <x:c r="A7" s="7" t="str">
        <x:v>Aidat Sistemi</x:v>
      </x:c>
      <x:c r="B7" t="str">
        <x:v>Önceki ay giderleri</x:v>
      </x:c>
    </x:row>
    <x:row r="8">
      <x:c r="A8" s="7" t="str">
        <x:v>Paylaşım</x:v>
      </x:c>
      <x:c r="B8" t="str">
        <x:v>Net m² oranı</x:v>
      </x:c>
    </x:row>
    <x:row r="9">
      <x:c r="A9" s="7" t="str">
        <x:v>Yedek Fon</x:v>
      </x:c>
      <x:c r="B9" t="str">
        <x:v>Yok</x:v>
      </x:c>
    </x:row>
    <x:row r="10">
      <x:c r="A10" s="7" t="str">
        <x:v>Personel/SGK/Sigorta</x:v>
      </x:c>
      <x:c r="B10" t="str">
        <x:v>Yok</x:v>
      </x:c>
    </x:row>
    <x:row r="11">
      <x:c r="A11" s="7" t="str">
        <x:v>Yönetim Hizmeti</x:v>
      </x:c>
      <x:c r="B11" t="str">
        <x:v>Var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9" t="str">
        <x:v>Kural</x:v>
      </x:c>
      <x:c r="B1" s="9" t="str">
        <x:v>Açıklama</x:v>
      </x:c>
    </x:row>
    <x:row r="2">
      <x:c r="A2" s="24" t="str">
        <x:v>Aidat</x:v>
      </x:c>
      <x:c r="B2" s="24" t="str">
        <x:v>Her ayın aidatı, bir önceki ayın gerçekleşen ortak giderlerinin toplamıdır.</x:v>
      </x:c>
    </x:row>
    <x:row r="3">
      <x:c r="A3" s="24" t="str">
        <x:v>Dağıtım</x:v>
      </x:c>
      <x:c r="B3" s="24" t="str">
        <x:v>Her gider net m² oranında dairelere dağıtılır.</x:v>
      </x:c>
    </x:row>
    <x:row r="4">
      <x:c r="A4" s="24" t="str">
        <x:v>Yedek fon</x:v>
      </x:c>
      <x:c r="B4" s="24" t="str">
        <x:v>Bu modelde yedek fon yoktur.</x:v>
      </x:c>
    </x:row>
    <x:row r="5">
      <x:c r="A5" s="24" t="str">
        <x:v>Hariç</x:v>
      </x:c>
      <x:c r="B5" s="24" t="str">
        <x:v>Personel, SGK ve sigorta yoktur.</x:v>
      </x:c>
    </x:row>
    <x:row r="6">
      <x:c r="A6" s="24" t="str">
        <x:v>Dahil</x:v>
      </x:c>
      <x:c r="B6" s="24" t="str">
        <x:v>Yönetim hizmeti, ortak alan elektrik/su, asansör, jeneratör, hidrofor, yangın, temizlik, bahçe, onarım ve çatı vardır.</x:v>
      </x:c>
    </x:row>
    <x:row r="7">
      <x:c r="A7" s="24" t="str">
        <x:v>Nakit gider</x:v>
      </x:c>
      <x:c r="B7" s="24" t="str">
        <x:v>Banka hareketinde görünmeyen nakit giderler de aidata dahil edilir.</x:v>
      </x:c>
    </x:row>
  </x:sheetData>
  <x:pageMargins left="0.7" right="0.7" top="0.75" bottom="0.75" header="0.3" footer="0.3"/>
</x:worksheet>
</file>
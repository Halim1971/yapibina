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1e9bcc5b043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kinler" sheetId="1" r:id="R09d8a3c07a554fd6"/>
    <x:sheet xmlns:r="http://schemas.openxmlformats.org/officeDocument/2006/relationships" name="Giderler" sheetId="2" r:id="R9ec1a944402f4530"/>
    <x:sheet xmlns:r="http://schemas.openxmlformats.org/officeDocument/2006/relationships" name="Aidat Ekstresi" sheetId="3" r:id="Re5681cd323114657"/>
    <x:sheet xmlns:r="http://schemas.openxmlformats.org/officeDocument/2006/relationships" name="Banka Hareketleri" sheetId="4" r:id="R69a20df2f07b43df"/>
    <x:sheet xmlns:r="http://schemas.openxmlformats.org/officeDocument/2006/relationships" name="B003-R001" sheetId="5" r:id="R95a2fa62d5ce4642"/>
    <x:sheet xmlns:r="http://schemas.openxmlformats.org/officeDocument/2006/relationships" name="B003-R002" sheetId="6" r:id="Ra1049102ce8d4ade"/>
    <x:sheet xmlns:r="http://schemas.openxmlformats.org/officeDocument/2006/relationships" name="B003-R003" sheetId="7" r:id="R498be85ca203465a"/>
    <x:sheet xmlns:r="http://schemas.openxmlformats.org/officeDocument/2006/relationships" name="B003-R004" sheetId="8" r:id="R92e27a4bce4e44d4"/>
    <x:sheet xmlns:r="http://schemas.openxmlformats.org/officeDocument/2006/relationships" name="B003-R005" sheetId="9" r:id="R9831fb666a654447"/>
    <x:sheet xmlns:r="http://schemas.openxmlformats.org/officeDocument/2006/relationships" name="B003-R006" sheetId="10" r:id="R6854fcc135cf4729"/>
    <x:sheet xmlns:r="http://schemas.openxmlformats.org/officeDocument/2006/relationships" name="B003-R007" sheetId="11" r:id="R59789a64794c462a"/>
    <x:sheet xmlns:r="http://schemas.openxmlformats.org/officeDocument/2006/relationships" name="B003-R008" sheetId="12" r:id="R77668fb2278245b9"/>
    <x:sheet xmlns:r="http://schemas.openxmlformats.org/officeDocument/2006/relationships" name="Özet" sheetId="13" r:id="Rc15a9005f3334df6"/>
    <x:sheet xmlns:r="http://schemas.openxmlformats.org/officeDocument/2006/relationships" name="Notlar" sheetId="14" r:id="R10b664363e3149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 &quot;m²&quot;"/>
    <x:numFmt numFmtId="201" formatCode="0.00%"/>
    <x:numFmt numFmtId="202" formatCode="dd.mm.yyyy"/>
    <x:numFmt numFmtId="203" formatCode="#,##0.00 &quot;TL&quot;"/>
    <x:numFmt numFmtId="204" formatCode="mmmm yyyy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F3F3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F3F"/>
      </x:patternFill>
    </x:fill>
    <x:fill>
      <x:patternFill patternType="solid">
        <x:fgColor rgb="FFD4D9D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a5b58f081418c" /><Relationship Type="http://schemas.openxmlformats.org/officeDocument/2006/relationships/theme" Target="/xl/theme/theme1.xml" Id="R1e184b377e2c4307" /><Relationship Type="http://schemas.openxmlformats.org/officeDocument/2006/relationships/sharedStrings" Target="/xl/sharedStrings.xml" Id="R4b9b3d84fa534d8d" /><Relationship Type="http://schemas.openxmlformats.org/officeDocument/2006/relationships/worksheet" Target="/xl/worksheets/sheet1.xml" Id="R09d8a3c07a554fd6" /><Relationship Type="http://schemas.openxmlformats.org/officeDocument/2006/relationships/worksheet" Target="/xl/worksheets/sheet2.xml" Id="R9ec1a944402f4530" /><Relationship Type="http://schemas.openxmlformats.org/officeDocument/2006/relationships/worksheet" Target="/xl/worksheets/sheet3.xml" Id="Re5681cd323114657" /><Relationship Type="http://schemas.openxmlformats.org/officeDocument/2006/relationships/worksheet" Target="/xl/worksheets/sheet4.xml" Id="R69a20df2f07b43df" /><Relationship Type="http://schemas.openxmlformats.org/officeDocument/2006/relationships/worksheet" Target="/xl/worksheets/sheet5.xml" Id="R95a2fa62d5ce4642" /><Relationship Type="http://schemas.openxmlformats.org/officeDocument/2006/relationships/worksheet" Target="/xl/worksheets/sheet6.xml" Id="Ra1049102ce8d4ade" /><Relationship Type="http://schemas.openxmlformats.org/officeDocument/2006/relationships/worksheet" Target="/xl/worksheets/sheet7.xml" Id="R498be85ca203465a" /><Relationship Type="http://schemas.openxmlformats.org/officeDocument/2006/relationships/worksheet" Target="/xl/worksheets/sheet8.xml" Id="R92e27a4bce4e44d4" /><Relationship Type="http://schemas.openxmlformats.org/officeDocument/2006/relationships/worksheet" Target="/xl/worksheets/sheet9.xml" Id="R9831fb666a654447" /><Relationship Type="http://schemas.openxmlformats.org/officeDocument/2006/relationships/worksheet" Target="/xl/worksheets/sheet10.xml" Id="R6854fcc135cf4729" /><Relationship Type="http://schemas.openxmlformats.org/officeDocument/2006/relationships/worksheet" Target="/xl/worksheets/sheet11.xml" Id="R59789a64794c462a" /><Relationship Type="http://schemas.openxmlformats.org/officeDocument/2006/relationships/worksheet" Target="/xl/worksheets/sheet12.xml" Id="R77668fb2278245b9" /><Relationship Type="http://schemas.openxmlformats.org/officeDocument/2006/relationships/worksheet" Target="/xl/worksheets/sheet13.xml" Id="Rc15a9005f3334df6" /><Relationship Type="http://schemas.openxmlformats.org/officeDocument/2006/relationships/worksheet" Target="/xl/worksheets/sheet14.xml" Id="R10b664363e3149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Ihlamur Apartmanı — Sakinler</x:v>
      </x:c>
      <x:c r="B1" s="3"/>
      <x:c r="C1" s="3"/>
      <x:c r="D1" s="3"/>
      <x:c r="E1" s="3"/>
      <x:c r="F1" s="3"/>
    </x:row>
    <x:row r="3">
      <x:c r="A3" s="10" t="str">
        <x:v>Daire No</x:v>
      </x:c>
      <x:c r="B3" s="10" t="str">
        <x:v>Resident Kodu</x:v>
      </x:c>
      <x:c r="C3" s="10" t="str">
        <x:v>Ad Soyad</x:v>
      </x:c>
      <x:c r="D3" s="10" t="str">
        <x:v>Net m²</x:v>
      </x:c>
      <x:c r="E3" s="10" t="str">
        <x:v>Ortak Gider Payı</x:v>
      </x:c>
      <x:c r="F3" s="10" t="str">
        <x:v>Durum</x:v>
      </x:c>
    </x:row>
    <x:row r="4">
      <x:c r="A4" t="n">
        <x:v>1</x:v>
      </x:c>
      <x:c r="B4" t="str">
        <x:v>B003-R001</x:v>
      </x:c>
      <x:c r="C4" t="str">
        <x:v>Kerem Yılmaz</x:v>
      </x:c>
      <x:c r="D4" s="16" t="n">
        <x:v>90</x:v>
      </x:c>
      <x:c r="E4" s="18" t="n">
        <x:v>0.10309278350515463</x:v>
      </x:c>
      <x:c r="F4" t="str">
        <x:v>Aktif</x:v>
      </x:c>
    </x:row>
    <x:row r="5">
      <x:c r="A5" t="n">
        <x:v>2</x:v>
      </x:c>
      <x:c r="B5" t="str">
        <x:v>B003-R002</x:v>
      </x:c>
      <x:c r="C5" t="str">
        <x:v>Deniz Yıldız</x:v>
      </x:c>
      <x:c r="D5" s="16" t="n">
        <x:v>90</x:v>
      </x:c>
      <x:c r="E5" s="18" t="n">
        <x:v>0.10309278350515463</x:v>
      </x:c>
      <x:c r="F5" t="str">
        <x:v>Aktif</x:v>
      </x:c>
    </x:row>
    <x:row r="6">
      <x:c r="A6" t="n">
        <x:v>3</x:v>
      </x:c>
      <x:c r="B6" t="str">
        <x:v>B003-R003</x:v>
      </x:c>
      <x:c r="C6" t="str">
        <x:v>Nihan Şahin</x:v>
      </x:c>
      <x:c r="D6" s="16" t="n">
        <x:v>105</x:v>
      </x:c>
      <x:c r="E6" s="18" t="n">
        <x:v>0.12027491408934708</x:v>
      </x:c>
      <x:c r="F6" t="str">
        <x:v>Aktif</x:v>
      </x:c>
    </x:row>
    <x:row r="7">
      <x:c r="A7" t="n">
        <x:v>4</x:v>
      </x:c>
      <x:c r="B7" t="str">
        <x:v>B003-R004</x:v>
      </x:c>
      <x:c r="C7" t="str">
        <x:v>Deniz Karaca</x:v>
      </x:c>
      <x:c r="D7" s="16" t="n">
        <x:v>96</x:v>
      </x:c>
      <x:c r="E7" s="18" t="n">
        <x:v>0.10996563573883161</x:v>
      </x:c>
      <x:c r="F7" t="str">
        <x:v>Aktif</x:v>
      </x:c>
    </x:row>
    <x:row r="8">
      <x:c r="A8" t="n">
        <x:v>5</x:v>
      </x:c>
      <x:c r="B8" t="str">
        <x:v>B003-R005</x:v>
      </x:c>
      <x:c r="C8" t="str">
        <x:v>Murat Aksoy</x:v>
      </x:c>
      <x:c r="D8" s="16" t="n">
        <x:v>90</x:v>
      </x:c>
      <x:c r="E8" s="18" t="n">
        <x:v>0.10309278350515463</x:v>
      </x:c>
      <x:c r="F8" t="str">
        <x:v>Aktif</x:v>
      </x:c>
    </x:row>
    <x:row r="9">
      <x:c r="A9" t="n">
        <x:v>6</x:v>
      </x:c>
      <x:c r="B9" t="str">
        <x:v>B003-R006</x:v>
      </x:c>
      <x:c r="C9" t="str">
        <x:v>Gül Koç</x:v>
      </x:c>
      <x:c r="D9" s="16" t="n">
        <x:v>158</x:v>
      </x:c>
      <x:c r="E9" s="18" t="n">
        <x:v>0.18098510882016036</x:v>
      </x:c>
      <x:c r="F9" t="str">
        <x:v>Aktif</x:v>
      </x:c>
    </x:row>
    <x:row r="10">
      <x:c r="A10" t="n">
        <x:v>7</x:v>
      </x:c>
      <x:c r="B10" t="str">
        <x:v>B003-R007</x:v>
      </x:c>
      <x:c r="C10" t="str">
        <x:v>Deniz Eren</x:v>
      </x:c>
      <x:c r="D10" s="16" t="n">
        <x:v>126</x:v>
      </x:c>
      <x:c r="E10" s="18" t="n">
        <x:v>0.14432989690721648</x:v>
      </x:c>
      <x:c r="F10" t="str">
        <x:v>Aktif</x:v>
      </x:c>
    </x:row>
    <x:row r="11">
      <x:c r="A11" t="n">
        <x:v>8</x:v>
      </x:c>
      <x:c r="B11" t="str">
        <x:v>B003-R008</x:v>
      </x:c>
      <x:c r="C11" t="str">
        <x:v>Elif Şahin</x:v>
      </x:c>
      <x:c r="D11" s="16" t="n">
        <x:v>118</x:v>
      </x:c>
      <x:c r="E11" s="18" t="n">
        <x:v>0.13516609392898052</x:v>
      </x:c>
      <x:c r="F11" t="str">
        <x:v>Aktif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3" t="str">
        <x:v>Ihlamur Apartmanı — Giderler ve Daire Payları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>
      <x:c r="A3" s="10" t="str">
        <x:v>Tarih</x:v>
      </x:c>
      <x:c r="B3" s="10" t="str">
        <x:v>Gider Ayı</x:v>
      </x:c>
      <x:c r="C3" s="10" t="str">
        <x:v>Kategori</x:v>
      </x:c>
      <x:c r="D3" s="10" t="str">
        <x:v>Açıklama</x:v>
      </x:c>
      <x:c r="E3" s="10" t="str">
        <x:v>Ödeme</x:v>
      </x:c>
      <x:c r="F3" s="10" t="str">
        <x:v>Tutar</x:v>
      </x:c>
      <x:c r="G3" s="10" t="str">
        <x:v>Gider Kodu</x:v>
      </x:c>
      <x:c r="H3" s="10" t="str">
        <x:v>B003-R001</x:v>
      </x:c>
      <x:c r="I3" s="10" t="str">
        <x:v>B003-R002</x:v>
      </x:c>
      <x:c r="J3" s="10" t="str">
        <x:v>B003-R003</x:v>
      </x:c>
      <x:c r="K3" s="10" t="str">
        <x:v>B003-R004</x:v>
      </x:c>
      <x:c r="L3" s="10" t="str">
        <x:v>B003-R005</x:v>
      </x:c>
      <x:c r="M3" s="10" t="str">
        <x:v>B003-R006</x:v>
      </x:c>
      <x:c r="N3" s="10" t="str">
        <x:v>B003-R007</x:v>
      </x:c>
      <x:c r="O3" s="10" t="str">
        <x:v>B003-R008</x:v>
      </x:c>
      <x:c r="P3" s="10" t="str">
        <x:v>Pay Toplamı</x:v>
      </x:c>
    </x:row>
    <x:row r="4">
      <x:c r="A4" s="20" t="n">
        <x:v>45996</x:v>
      </x:c>
      <x:c r="B4" s="20" t="n">
        <x:v>45992</x:v>
      </x:c>
      <x:c r="C4" t="str">
        <x:v>Ortak Alan Elektrik</x:v>
      </x:c>
      <x:c r="D4" t="str">
        <x:v>Aralık ortak alan elektrik</x:v>
      </x:c>
      <x:c r="E4" t="str">
        <x:v>Banka</x:v>
      </x:c>
      <x:c r="F4" s="22" t="n">
        <x:v>1240</x:v>
      </x:c>
      <x:c r="G4" s="22" t="str">
        <x:v>B003-G0001</x:v>
      </x:c>
      <x:c r="H4" s="22" t="n">
        <x:f>$F4*Sakinler!$E$4</x:f>
        <x:v>127.83505154639174</x:v>
      </x:c>
      <x:c r="I4" s="22" t="n">
        <x:f>$F4*Sakinler!$E$5</x:f>
        <x:v>127.83505154639174</x:v>
      </x:c>
      <x:c r="J4" s="22" t="n">
        <x:f>$F4*Sakinler!$E$6</x:f>
        <x:v>149.1408934707904</x:v>
      </x:c>
      <x:c r="K4" s="22" t="n">
        <x:f>$F4*Sakinler!$E$7</x:f>
        <x:v>136.3573883161512</x:v>
      </x:c>
      <x:c r="L4" s="22" t="n">
        <x:f>$F4*Sakinler!$E$8</x:f>
        <x:v>127.83505154639174</x:v>
      </x:c>
      <x:c r="M4" s="22" t="n">
        <x:f>$F4*Sakinler!$E$9</x:f>
        <x:v>224.42153493699885</x:v>
      </x:c>
      <x:c r="N4" s="22" t="n">
        <x:f>$F4*Sakinler!$E$10</x:f>
        <x:v>178.96907216494844</x:v>
      </x:c>
      <x:c r="O4" s="22" t="n">
        <x:f>$F4*Sakinler!$E$11</x:f>
        <x:v>167.60595647193585</x:v>
      </x:c>
      <x:c r="P4" s="22" t="n">
        <x:f>SUM(H4:O4)</x:f>
        <x:v>1240</x:v>
      </x:c>
    </x:row>
    <x:row r="5">
      <x:c r="A5" s="20" t="n">
        <x:v>46000</x:v>
      </x:c>
      <x:c r="B5" s="20" t="n">
        <x:v>45992</x:v>
      </x:c>
      <x:c r="C5" t="str">
        <x:v>Ortak Alan Su</x:v>
      </x:c>
      <x:c r="D5" t="str">
        <x:v>Aralık ortak alan su</x:v>
      </x:c>
      <x:c r="E5" t="str">
        <x:v>Banka</x:v>
      </x:c>
      <x:c r="F5" s="22" t="n">
        <x:v>660</x:v>
      </x:c>
      <x:c r="G5" s="22" t="str">
        <x:v>B003-G0002</x:v>
      </x:c>
      <x:c r="H5" s="22" t="n">
        <x:f>$F5*Sakinler!$E$4</x:f>
        <x:v>68.04123711340206</x:v>
      </x:c>
      <x:c r="I5" s="22" t="n">
        <x:f>$F5*Sakinler!$E$5</x:f>
        <x:v>68.04123711340206</x:v>
      </x:c>
      <x:c r="J5" s="22" t="n">
        <x:f>$F5*Sakinler!$E$6</x:f>
        <x:v>79.38144329896907</x:v>
      </x:c>
      <x:c r="K5" s="22" t="n">
        <x:f>$F5*Sakinler!$E$7</x:f>
        <x:v>72.57731958762886</x:v>
      </x:c>
      <x:c r="L5" s="22" t="n">
        <x:f>$F5*Sakinler!$E$8</x:f>
        <x:v>68.04123711340206</x:v>
      </x:c>
      <x:c r="M5" s="22" t="n">
        <x:f>$F5*Sakinler!$E$9</x:f>
        <x:v>119.45017182130584</x:v>
      </x:c>
      <x:c r="N5" s="22" t="n">
        <x:f>$F5*Sakinler!$E$10</x:f>
        <x:v>95.25773195876288</x:v>
      </x:c>
      <x:c r="O5" s="22" t="n">
        <x:f>$F5*Sakinler!$E$11</x:f>
        <x:v>89.20962199312714</x:v>
      </x:c>
      <x:c r="P5" s="22" t="n">
        <x:f>SUM(H5:O5)</x:f>
        <x:v>660</x:v>
      </x:c>
    </x:row>
    <x:row r="6">
      <x:c r="A6" s="20" t="n">
        <x:v>46004</x:v>
      </x:c>
      <x:c r="B6" s="20" t="n">
        <x:v>45992</x:v>
      </x:c>
      <x:c r="C6" t="str">
        <x:v>Asansör Bakımı</x:v>
      </x:c>
      <x:c r="D6" t="str">
        <x:v>Aylık asansör bakımı</x:v>
      </x:c>
      <x:c r="E6" t="str">
        <x:v>Banka</x:v>
      </x:c>
      <x:c r="F6" s="22" t="n">
        <x:v>2100</x:v>
      </x:c>
      <x:c r="G6" s="22" t="str">
        <x:v>B003-G0003</x:v>
      </x:c>
      <x:c r="H6" s="22" t="n">
        <x:f>$F6*Sakinler!$E$4</x:f>
        <x:v>216.49484536082474</x:v>
      </x:c>
      <x:c r="I6" s="22" t="n">
        <x:f>$F6*Sakinler!$E$5</x:f>
        <x:v>216.49484536082474</x:v>
      </x:c>
      <x:c r="J6" s="22" t="n">
        <x:f>$F6*Sakinler!$E$6</x:f>
        <x:v>252.57731958762886</x:v>
      </x:c>
      <x:c r="K6" s="22" t="n">
        <x:f>$F6*Sakinler!$E$7</x:f>
        <x:v>230.9278350515464</x:v>
      </x:c>
      <x:c r="L6" s="22" t="n">
        <x:f>$F6*Sakinler!$E$8</x:f>
        <x:v>216.49484536082474</x:v>
      </x:c>
      <x:c r="M6" s="22" t="n">
        <x:f>$F6*Sakinler!$E$9</x:f>
        <x:v>380.06872852233676</x:v>
      </x:c>
      <x:c r="N6" s="22" t="n">
        <x:f>$F6*Sakinler!$E$10</x:f>
        <x:v>303.0927835051546</x:v>
      </x:c>
      <x:c r="O6" s="22" t="n">
        <x:f>$F6*Sakinler!$E$11</x:f>
        <x:v>283.8487972508591</x:v>
      </x:c>
      <x:c r="P6" s="22" t="n">
        <x:f>SUM(H6:O6)</x:f>
        <x:v>2099.9999999999995</x:v>
      </x:c>
    </x:row>
    <x:row r="7">
      <x:c r="A7" s="20" t="n">
        <x:v>46008</x:v>
      </x:c>
      <x:c r="B7" s="20" t="n">
        <x:v>45992</x:v>
      </x:c>
      <x:c r="C7" t="str">
        <x:v>Jeneratör Bakımı</x:v>
      </x:c>
      <x:c r="D7" t="str">
        <x:v>Jeneratör periyodik kontrol</x:v>
      </x:c>
      <x:c r="E7" t="str">
        <x:v>Banka</x:v>
      </x:c>
      <x:c r="F7" s="22" t="n">
        <x:v>1800</x:v>
      </x:c>
      <x:c r="G7" s="22" t="str">
        <x:v>B003-G0004</x:v>
      </x:c>
      <x:c r="H7" s="22" t="n">
        <x:f>$F7*Sakinler!$E$4</x:f>
        <x:v>185.56701030927834</x:v>
      </x:c>
      <x:c r="I7" s="22" t="n">
        <x:f>$F7*Sakinler!$E$5</x:f>
        <x:v>185.56701030927834</x:v>
      </x:c>
      <x:c r="J7" s="22" t="n">
        <x:f>$F7*Sakinler!$E$6</x:f>
        <x:v>216.49484536082474</x:v>
      </x:c>
      <x:c r="K7" s="22" t="n">
        <x:f>$F7*Sakinler!$E$7</x:f>
        <x:v>197.93814432989691</x:v>
      </x:c>
      <x:c r="L7" s="22" t="n">
        <x:f>$F7*Sakinler!$E$8</x:f>
        <x:v>185.56701030927834</x:v>
      </x:c>
      <x:c r="M7" s="22" t="n">
        <x:f>$F7*Sakinler!$E$9</x:f>
        <x:v>325.77319587628864</x:v>
      </x:c>
      <x:c r="N7" s="22" t="n">
        <x:f>$F7*Sakinler!$E$10</x:f>
        <x:v>259.7938144329897</x:v>
      </x:c>
      <x:c r="O7" s="22" t="n">
        <x:f>$F7*Sakinler!$E$11</x:f>
        <x:v>243.29896907216494</x:v>
      </x:c>
      <x:c r="P7" s="22" t="n">
        <x:f>SUM(H7:O7)</x:f>
        <x:v>1799.9999999999998</x:v>
      </x:c>
    </x:row>
    <x:row r="8">
      <x:c r="A8" s="20" t="n">
        <x:v>46012</x:v>
      </x:c>
      <x:c r="B8" s="20" t="n">
        <x:v>45992</x:v>
      </x:c>
      <x:c r="C8" t="str">
        <x:v>Temizlik</x:v>
      </x:c>
      <x:c r="D8" t="str">
        <x:v>Ortak alan temizliği</x:v>
      </x:c>
      <x:c r="E8" t="str">
        <x:v>Nakit</x:v>
      </x:c>
      <x:c r="F8" s="22" t="n">
        <x:v>2240</x:v>
      </x:c>
      <x:c r="G8" s="22" t="str">
        <x:v>B003-G0005</x:v>
      </x:c>
      <x:c r="H8" s="22" t="n">
        <x:f>$F8*Sakinler!$E$4</x:f>
        <x:v>230.92783505154637</x:v>
      </x:c>
      <x:c r="I8" s="22" t="n">
        <x:f>$F8*Sakinler!$E$5</x:f>
        <x:v>230.92783505154637</x:v>
      </x:c>
      <x:c r="J8" s="22" t="n">
        <x:f>$F8*Sakinler!$E$6</x:f>
        <x:v>269.41580756013747</x:v>
      </x:c>
      <x:c r="K8" s="22" t="n">
        <x:f>$F8*Sakinler!$E$7</x:f>
        <x:v>246.32302405498282</x:v>
      </x:c>
      <x:c r="L8" s="22" t="n">
        <x:f>$F8*Sakinler!$E$8</x:f>
        <x:v>230.92783505154637</x:v>
      </x:c>
      <x:c r="M8" s="22" t="n">
        <x:f>$F8*Sakinler!$E$9</x:f>
        <x:v>405.4066437571592</x:v>
      </x:c>
      <x:c r="N8" s="22" t="n">
        <x:f>$F8*Sakinler!$E$10</x:f>
        <x:v>323.29896907216494</x:v>
      </x:c>
      <x:c r="O8" s="22" t="n">
        <x:f>$F8*Sakinler!$E$11</x:f>
        <x:v>302.7720504009164</x:v>
      </x:c>
      <x:c r="P8" s="22" t="n">
        <x:f>SUM(H8:O8)</x:f>
        <x:v>2240</x:v>
      </x:c>
    </x:row>
    <x:row r="9">
      <x:c r="A9" s="20" t="n">
        <x:v>46016</x:v>
      </x:c>
      <x:c r="B9" s="20" t="n">
        <x:v>45992</x:v>
      </x:c>
      <x:c r="C9" t="str">
        <x:v>Yönetim Hizmeti</x:v>
      </x:c>
      <x:c r="D9" t="str">
        <x:v>Yönetim hizmet bedeli</x:v>
      </x:c>
      <x:c r="E9" t="str">
        <x:v>Banka</x:v>
      </x:c>
      <x:c r="F9" s="22" t="n">
        <x:v>2500</x:v>
      </x:c>
      <x:c r="G9" s="22" t="str">
        <x:v>B003-G0006</x:v>
      </x:c>
      <x:c r="H9" s="22" t="n">
        <x:f>$F9*Sakinler!$E$4</x:f>
        <x:v>257.73195876288656</x:v>
      </x:c>
      <x:c r="I9" s="22" t="n">
        <x:f>$F9*Sakinler!$E$5</x:f>
        <x:v>257.73195876288656</x:v>
      </x:c>
      <x:c r="J9" s="22" t="n">
        <x:f>$F9*Sakinler!$E$6</x:f>
        <x:v>300.6872852233677</x:v>
      </x:c>
      <x:c r="K9" s="22" t="n">
        <x:f>$F9*Sakinler!$E$7</x:f>
        <x:v>274.914089347079</x:v>
      </x:c>
      <x:c r="L9" s="22" t="n">
        <x:f>$F9*Sakinler!$E$8</x:f>
        <x:v>257.73195876288656</x:v>
      </x:c>
      <x:c r="M9" s="22" t="n">
        <x:f>$F9*Sakinler!$E$9</x:f>
        <x:v>452.46277205040093</x:v>
      </x:c>
      <x:c r="N9" s="22" t="n">
        <x:f>$F9*Sakinler!$E$10</x:f>
        <x:v>360.8247422680412</x:v>
      </x:c>
      <x:c r="O9" s="22" t="n">
        <x:f>$F9*Sakinler!$E$11</x:f>
        <x:v>337.9152348224513</x:v>
      </x:c>
      <x:c r="P9" s="22" t="n">
        <x:f>SUM(H9:O9)</x:f>
        <x:v>2499.9999999999995</x:v>
      </x:c>
    </x:row>
    <x:row r="10">
      <x:c r="A10" s="20" t="n">
        <x:v>46027</x:v>
      </x:c>
      <x:c r="B10" s="20" t="n">
        <x:v>46023</x:v>
      </x:c>
      <x:c r="C10" t="str">
        <x:v>Ortak Alan Elektrik</x:v>
      </x:c>
      <x:c r="D10" t="str">
        <x:v>Ocak ortak alan elektrik</x:v>
      </x:c>
      <x:c r="E10" t="str">
        <x:v>Banka</x:v>
      </x:c>
      <x:c r="F10" s="22" t="n">
        <x:v>1320</x:v>
      </x:c>
      <x:c r="G10" s="22" t="str">
        <x:v>B003-G0007</x:v>
      </x:c>
      <x:c r="H10" s="22" t="n">
        <x:f>$F10*Sakinler!$E$4</x:f>
        <x:v>136.08247422680412</x:v>
      </x:c>
      <x:c r="I10" s="22" t="n">
        <x:f>$F10*Sakinler!$E$5</x:f>
        <x:v>136.08247422680412</x:v>
      </x:c>
      <x:c r="J10" s="22" t="n">
        <x:f>$F10*Sakinler!$E$6</x:f>
        <x:v>158.76288659793815</x:v>
      </x:c>
      <x:c r="K10" s="22" t="n">
        <x:f>$F10*Sakinler!$E$7</x:f>
        <x:v>145.15463917525773</x:v>
      </x:c>
      <x:c r="L10" s="22" t="n">
        <x:f>$F10*Sakinler!$E$8</x:f>
        <x:v>136.08247422680412</x:v>
      </x:c>
      <x:c r="M10" s="22" t="n">
        <x:f>$F10*Sakinler!$E$9</x:f>
        <x:v>238.9003436426117</x:v>
      </x:c>
      <x:c r="N10" s="22" t="n">
        <x:f>$F10*Sakinler!$E$10</x:f>
        <x:v>190.51546391752575</x:v>
      </x:c>
      <x:c r="O10" s="22" t="n">
        <x:f>$F10*Sakinler!$E$11</x:f>
        <x:v>178.4192439862543</x:v>
      </x:c>
      <x:c r="P10" s="22" t="n">
        <x:f>SUM(H10:O10)</x:f>
        <x:v>1320</x:v>
      </x:c>
    </x:row>
    <x:row r="11">
      <x:c r="A11" s="20" t="n">
        <x:v>46031</x:v>
      </x:c>
      <x:c r="B11" s="20" t="n">
        <x:v>46023</x:v>
      </x:c>
      <x:c r="C11" t="str">
        <x:v>Ortak Alan Su</x:v>
      </x:c>
      <x:c r="D11" t="str">
        <x:v>Ocak ortak alan su</x:v>
      </x:c>
      <x:c r="E11" t="str">
        <x:v>Banka</x:v>
      </x:c>
      <x:c r="F11" s="22" t="n">
        <x:v>680</x:v>
      </x:c>
      <x:c r="G11" s="22" t="str">
        <x:v>B003-G0008</x:v>
      </x:c>
      <x:c r="H11" s="22" t="n">
        <x:f>$F11*Sakinler!$E$4</x:f>
        <x:v>70.10309278350515</x:v>
      </x:c>
      <x:c r="I11" s="22" t="n">
        <x:f>$F11*Sakinler!$E$5</x:f>
        <x:v>70.10309278350515</x:v>
      </x:c>
      <x:c r="J11" s="22" t="n">
        <x:f>$F11*Sakinler!$E$6</x:f>
        <x:v>81.78694158075602</x:v>
      </x:c>
      <x:c r="K11" s="22" t="n">
        <x:f>$F11*Sakinler!$E$7</x:f>
        <x:v>74.7766323024055</x:v>
      </x:c>
      <x:c r="L11" s="22" t="n">
        <x:f>$F11*Sakinler!$E$8</x:f>
        <x:v>70.10309278350515</x:v>
      </x:c>
      <x:c r="M11" s="22" t="n">
        <x:f>$F11*Sakinler!$E$9</x:f>
        <x:v>123.06987399770905</x:v>
      </x:c>
      <x:c r="N11" s="22" t="n">
        <x:f>$F11*Sakinler!$E$10</x:f>
        <x:v>98.14432989690721</x:v>
      </x:c>
      <x:c r="O11" s="22" t="n">
        <x:f>$F11*Sakinler!$E$11</x:f>
        <x:v>91.91294387170676</x:v>
      </x:c>
      <x:c r="P11" s="22" t="n">
        <x:f>SUM(H11:O11)</x:f>
        <x:v>679.9999999999999</x:v>
      </x:c>
    </x:row>
    <x:row r="12">
      <x:c r="A12" s="20" t="n">
        <x:v>46035</x:v>
      </x:c>
      <x:c r="B12" s="20" t="n">
        <x:v>46023</x:v>
      </x:c>
      <x:c r="C12" t="str">
        <x:v>Asansör Bakımı</x:v>
      </x:c>
      <x:c r="D12" t="str">
        <x:v>Aylık asansör bakımı</x:v>
      </x:c>
      <x:c r="E12" t="str">
        <x:v>Banka</x:v>
      </x:c>
      <x:c r="F12" s="22" t="n">
        <x:v>2100</x:v>
      </x:c>
      <x:c r="G12" s="22" t="str">
        <x:v>B003-G0009</x:v>
      </x:c>
      <x:c r="H12" s="22" t="n">
        <x:f>$F12*Sakinler!$E$4</x:f>
        <x:v>216.49484536082474</x:v>
      </x:c>
      <x:c r="I12" s="22" t="n">
        <x:f>$F12*Sakinler!$E$5</x:f>
        <x:v>216.49484536082474</x:v>
      </x:c>
      <x:c r="J12" s="22" t="n">
        <x:f>$F12*Sakinler!$E$6</x:f>
        <x:v>252.57731958762886</x:v>
      </x:c>
      <x:c r="K12" s="22" t="n">
        <x:f>$F12*Sakinler!$E$7</x:f>
        <x:v>230.9278350515464</x:v>
      </x:c>
      <x:c r="L12" s="22" t="n">
        <x:f>$F12*Sakinler!$E$8</x:f>
        <x:v>216.49484536082474</x:v>
      </x:c>
      <x:c r="M12" s="22" t="n">
        <x:f>$F12*Sakinler!$E$9</x:f>
        <x:v>380.06872852233676</x:v>
      </x:c>
      <x:c r="N12" s="22" t="n">
        <x:f>$F12*Sakinler!$E$10</x:f>
        <x:v>303.0927835051546</x:v>
      </x:c>
      <x:c r="O12" s="22" t="n">
        <x:f>$F12*Sakinler!$E$11</x:f>
        <x:v>283.8487972508591</x:v>
      </x:c>
      <x:c r="P12" s="22" t="n">
        <x:f>SUM(H12:O12)</x:f>
        <x:v>2099.9999999999995</x:v>
      </x:c>
    </x:row>
    <x:row r="13">
      <x:c r="A13" s="20" t="n">
        <x:v>46039</x:v>
      </x:c>
      <x:c r="B13" s="20" t="n">
        <x:v>46023</x:v>
      </x:c>
      <x:c r="C13" t="str">
        <x:v>Hidrofor Bakımı</x:v>
      </x:c>
      <x:c r="D13" t="str">
        <x:v>Hidrofor bakım ve ayar</x:v>
      </x:c>
      <x:c r="E13" t="str">
        <x:v>Banka</x:v>
      </x:c>
      <x:c r="F13" s="22" t="n">
        <x:v>3200</x:v>
      </x:c>
      <x:c r="G13" s="22" t="str">
        <x:v>B003-G0010</x:v>
      </x:c>
      <x:c r="H13" s="22" t="n">
        <x:f>$F13*Sakinler!$E$4</x:f>
        <x:v>329.8969072164948</x:v>
      </x:c>
      <x:c r="I13" s="22" t="n">
        <x:f>$F13*Sakinler!$E$5</x:f>
        <x:v>329.8969072164948</x:v>
      </x:c>
      <x:c r="J13" s="22" t="n">
        <x:f>$F13*Sakinler!$E$6</x:f>
        <x:v>384.87972508591065</x:v>
      </x:c>
      <x:c r="K13" s="22" t="n">
        <x:f>$F13*Sakinler!$E$7</x:f>
        <x:v>351.89003436426117</x:v>
      </x:c>
      <x:c r="L13" s="22" t="n">
        <x:f>$F13*Sakinler!$E$8</x:f>
        <x:v>329.8969072164948</x:v>
      </x:c>
      <x:c r="M13" s="22" t="n">
        <x:f>$F13*Sakinler!$E$9</x:f>
        <x:v>579.1523482245132</x:v>
      </x:c>
      <x:c r="N13" s="22" t="n">
        <x:f>$F13*Sakinler!$E$10</x:f>
        <x:v>461.85567010309273</x:v>
      </x:c>
      <x:c r="O13" s="22" t="n">
        <x:f>$F13*Sakinler!$E$11</x:f>
        <x:v>432.5315005727377</x:v>
      </x:c>
      <x:c r="P13" s="22" t="n">
        <x:f>SUM(H13:O13)</x:f>
        <x:v>3199.9999999999995</x:v>
      </x:c>
    </x:row>
    <x:row r="14">
      <x:c r="A14" s="20" t="n">
        <x:v>46043</x:v>
      </x:c>
      <x:c r="B14" s="20" t="n">
        <x:v>46023</x:v>
      </x:c>
      <x:c r="C14" t="str">
        <x:v>Temizlik</x:v>
      </x:c>
      <x:c r="D14" t="str">
        <x:v>Ortak alan temizliği</x:v>
      </x:c>
      <x:c r="E14" t="str">
        <x:v>Nakit</x:v>
      </x:c>
      <x:c r="F14" s="22" t="n">
        <x:v>2240</x:v>
      </x:c>
      <x:c r="G14" s="22" t="str">
        <x:v>B003-G0011</x:v>
      </x:c>
      <x:c r="H14" s="22" t="n">
        <x:f>$F14*Sakinler!$E$4</x:f>
        <x:v>230.92783505154637</x:v>
      </x:c>
      <x:c r="I14" s="22" t="n">
        <x:f>$F14*Sakinler!$E$5</x:f>
        <x:v>230.92783505154637</x:v>
      </x:c>
      <x:c r="J14" s="22" t="n">
        <x:f>$F14*Sakinler!$E$6</x:f>
        <x:v>269.41580756013747</x:v>
      </x:c>
      <x:c r="K14" s="22" t="n">
        <x:f>$F14*Sakinler!$E$7</x:f>
        <x:v>246.32302405498282</x:v>
      </x:c>
      <x:c r="L14" s="22" t="n">
        <x:f>$F14*Sakinler!$E$8</x:f>
        <x:v>230.92783505154637</x:v>
      </x:c>
      <x:c r="M14" s="22" t="n">
        <x:f>$F14*Sakinler!$E$9</x:f>
        <x:v>405.4066437571592</x:v>
      </x:c>
      <x:c r="N14" s="22" t="n">
        <x:f>$F14*Sakinler!$E$10</x:f>
        <x:v>323.29896907216494</x:v>
      </x:c>
      <x:c r="O14" s="22" t="n">
        <x:f>$F14*Sakinler!$E$11</x:f>
        <x:v>302.7720504009164</x:v>
      </x:c>
      <x:c r="P14" s="22" t="n">
        <x:f>SUM(H14:O14)</x:f>
        <x:v>2240</x:v>
      </x:c>
    </x:row>
    <x:row r="15">
      <x:c r="A15" s="20" t="n">
        <x:v>46047</x:v>
      </x:c>
      <x:c r="B15" s="20" t="n">
        <x:v>46023</x:v>
      </x:c>
      <x:c r="C15" t="str">
        <x:v>Yönetim Hizmeti</x:v>
      </x:c>
      <x:c r="D15" t="str">
        <x:v>Yönetim hizmet bedeli</x:v>
      </x:c>
      <x:c r="E15" t="str">
        <x:v>Banka</x:v>
      </x:c>
      <x:c r="F15" s="22" t="n">
        <x:v>2500</x:v>
      </x:c>
      <x:c r="G15" s="22" t="str">
        <x:v>B003-G0012</x:v>
      </x:c>
      <x:c r="H15" s="22" t="n">
        <x:f>$F15*Sakinler!$E$4</x:f>
        <x:v>257.73195876288656</x:v>
      </x:c>
      <x:c r="I15" s="22" t="n">
        <x:f>$F15*Sakinler!$E$5</x:f>
        <x:v>257.73195876288656</x:v>
      </x:c>
      <x:c r="J15" s="22" t="n">
        <x:f>$F15*Sakinler!$E$6</x:f>
        <x:v>300.6872852233677</x:v>
      </x:c>
      <x:c r="K15" s="22" t="n">
        <x:f>$F15*Sakinler!$E$7</x:f>
        <x:v>274.914089347079</x:v>
      </x:c>
      <x:c r="L15" s="22" t="n">
        <x:f>$F15*Sakinler!$E$8</x:f>
        <x:v>257.73195876288656</x:v>
      </x:c>
      <x:c r="M15" s="22" t="n">
        <x:f>$F15*Sakinler!$E$9</x:f>
        <x:v>452.46277205040093</x:v>
      </x:c>
      <x:c r="N15" s="22" t="n">
        <x:f>$F15*Sakinler!$E$10</x:f>
        <x:v>360.8247422680412</x:v>
      </x:c>
      <x:c r="O15" s="22" t="n">
        <x:f>$F15*Sakinler!$E$11</x:f>
        <x:v>337.9152348224513</x:v>
      </x:c>
      <x:c r="P15" s="22" t="n">
        <x:f>SUM(H15:O15)</x:f>
        <x:v>2499.9999999999995</x:v>
      </x:c>
    </x:row>
    <x:row r="16">
      <x:c r="A16" s="20" t="n">
        <x:v>46058</x:v>
      </x:c>
      <x:c r="B16" s="20" t="n">
        <x:v>46054</x:v>
      </x:c>
      <x:c r="C16" t="str">
        <x:v>Ortak Alan Elektrik</x:v>
      </x:c>
      <x:c r="D16" t="str">
        <x:v>Şubat ortak alan elektrik</x:v>
      </x:c>
      <x:c r="E16" t="str">
        <x:v>Banka</x:v>
      </x:c>
      <x:c r="F16" s="22" t="n">
        <x:v>1380</x:v>
      </x:c>
      <x:c r="G16" s="22" t="str">
        <x:v>B003-G0013</x:v>
      </x:c>
      <x:c r="H16" s="22" t="n">
        <x:f>$F16*Sakinler!$E$4</x:f>
        <x:v>142.2680412371134</x:v>
      </x:c>
      <x:c r="I16" s="22" t="n">
        <x:f>$F16*Sakinler!$E$5</x:f>
        <x:v>142.2680412371134</x:v>
      </x:c>
      <x:c r="J16" s="22" t="n">
        <x:f>$F16*Sakinler!$E$6</x:f>
        <x:v>165.97938144329896</x:v>
      </x:c>
      <x:c r="K16" s="22" t="n">
        <x:f>$F16*Sakinler!$E$7</x:f>
        <x:v>151.75257731958763</x:v>
      </x:c>
      <x:c r="L16" s="22" t="n">
        <x:f>$F16*Sakinler!$E$8</x:f>
        <x:v>142.2680412371134</x:v>
      </x:c>
      <x:c r="M16" s="22" t="n">
        <x:f>$F16*Sakinler!$E$9</x:f>
        <x:v>249.7594501718213</x:v>
      </x:c>
      <x:c r="N16" s="22" t="n">
        <x:f>$F16*Sakinler!$E$10</x:f>
        <x:v>199.17525773195874</x:v>
      </x:c>
      <x:c r="O16" s="22" t="n">
        <x:f>$F16*Sakinler!$E$11</x:f>
        <x:v>186.52920962199312</x:v>
      </x:c>
      <x:c r="P16" s="22" t="n">
        <x:f>SUM(H16:O16)</x:f>
        <x:v>1380</x:v>
      </x:c>
    </x:row>
    <x:row r="17">
      <x:c r="A17" s="20" t="n">
        <x:v>46062</x:v>
      </x:c>
      <x:c r="B17" s="20" t="n">
        <x:v>46054</x:v>
      </x:c>
      <x:c r="C17" t="str">
        <x:v>Ortak Alan Su</x:v>
      </x:c>
      <x:c r="D17" t="str">
        <x:v>Şubat ortak alan su</x:v>
      </x:c>
      <x:c r="E17" t="str">
        <x:v>Banka</x:v>
      </x:c>
      <x:c r="F17" s="22" t="n">
        <x:v>740</x:v>
      </x:c>
      <x:c r="G17" s="22" t="str">
        <x:v>B003-G0014</x:v>
      </x:c>
      <x:c r="H17" s="22" t="n">
        <x:f>$F17*Sakinler!$E$4</x:f>
        <x:v>76.28865979381443</x:v>
      </x:c>
      <x:c r="I17" s="22" t="n">
        <x:f>$F17*Sakinler!$E$5</x:f>
        <x:v>76.28865979381443</x:v>
      </x:c>
      <x:c r="J17" s="22" t="n">
        <x:f>$F17*Sakinler!$E$6</x:f>
        <x:v>89.00343642611683</x:v>
      </x:c>
      <x:c r="K17" s="22" t="n">
        <x:f>$F17*Sakinler!$E$7</x:f>
        <x:v>81.37457044673539</x:v>
      </x:c>
      <x:c r="L17" s="22" t="n">
        <x:f>$F17*Sakinler!$E$8</x:f>
        <x:v>76.28865979381443</x:v>
      </x:c>
      <x:c r="M17" s="22" t="n">
        <x:f>$F17*Sakinler!$E$9</x:f>
        <x:v>133.92898052691868</x:v>
      </x:c>
      <x:c r="N17" s="22" t="n">
        <x:f>$F17*Sakinler!$E$10</x:f>
        <x:v>106.8041237113402</x:v>
      </x:c>
      <x:c r="O17" s="22" t="n">
        <x:f>$F17*Sakinler!$E$11</x:f>
        <x:v>100.02290950744559</x:v>
      </x:c>
      <x:c r="P17" s="22" t="n">
        <x:f>SUM(H17:O17)</x:f>
        <x:v>740</x:v>
      </x:c>
    </x:row>
    <x:row r="18">
      <x:c r="A18" s="20" t="n">
        <x:v>46066</x:v>
      </x:c>
      <x:c r="B18" s="20" t="n">
        <x:v>46054</x:v>
      </x:c>
      <x:c r="C18" t="str">
        <x:v>Asansör Bakımı</x:v>
      </x:c>
      <x:c r="D18" t="str">
        <x:v>Aylık asansör bakımı</x:v>
      </x:c>
      <x:c r="E18" t="str">
        <x:v>Banka</x:v>
      </x:c>
      <x:c r="F18" s="22" t="n">
        <x:v>2100</x:v>
      </x:c>
      <x:c r="G18" s="22" t="str">
        <x:v>B003-G0015</x:v>
      </x:c>
      <x:c r="H18" s="22" t="n">
        <x:f>$F18*Sakinler!$E$4</x:f>
        <x:v>216.49484536082474</x:v>
      </x:c>
      <x:c r="I18" s="22" t="n">
        <x:f>$F18*Sakinler!$E$5</x:f>
        <x:v>216.49484536082474</x:v>
      </x:c>
      <x:c r="J18" s="22" t="n">
        <x:f>$F18*Sakinler!$E$6</x:f>
        <x:v>252.57731958762886</x:v>
      </x:c>
      <x:c r="K18" s="22" t="n">
        <x:f>$F18*Sakinler!$E$7</x:f>
        <x:v>230.9278350515464</x:v>
      </x:c>
      <x:c r="L18" s="22" t="n">
        <x:f>$F18*Sakinler!$E$8</x:f>
        <x:v>216.49484536082474</x:v>
      </x:c>
      <x:c r="M18" s="22" t="n">
        <x:f>$F18*Sakinler!$E$9</x:f>
        <x:v>380.06872852233676</x:v>
      </x:c>
      <x:c r="N18" s="22" t="n">
        <x:f>$F18*Sakinler!$E$10</x:f>
        <x:v>303.0927835051546</x:v>
      </x:c>
      <x:c r="O18" s="22" t="n">
        <x:f>$F18*Sakinler!$E$11</x:f>
        <x:v>283.8487972508591</x:v>
      </x:c>
      <x:c r="P18" s="22" t="n">
        <x:f>SUM(H18:O18)</x:f>
        <x:v>2099.9999999999995</x:v>
      </x:c>
    </x:row>
    <x:row r="19">
      <x:c r="A19" s="20" t="n">
        <x:v>46070</x:v>
      </x:c>
      <x:c r="B19" s="20" t="n">
        <x:v>46054</x:v>
      </x:c>
      <x:c r="C19" t="str">
        <x:v>Jeneratör Bakımı</x:v>
      </x:c>
      <x:c r="D19" t="str">
        <x:v>Jeneratör akü ve filtre kontrolü</x:v>
      </x:c>
      <x:c r="E19" t="str">
        <x:v>Banka</x:v>
      </x:c>
      <x:c r="F19" s="22" t="n">
        <x:v>2400</x:v>
      </x:c>
      <x:c r="G19" s="22" t="str">
        <x:v>B003-G0016</x:v>
      </x:c>
      <x:c r="H19" s="22" t="n">
        <x:f>$F19*Sakinler!$E$4</x:f>
        <x:v>247.4226804123711</x:v>
      </x:c>
      <x:c r="I19" s="22" t="n">
        <x:f>$F19*Sakinler!$E$5</x:f>
        <x:v>247.4226804123711</x:v>
      </x:c>
      <x:c r="J19" s="22" t="n">
        <x:f>$F19*Sakinler!$E$6</x:f>
        <x:v>288.659793814433</x:v>
      </x:c>
      <x:c r="K19" s="22" t="n">
        <x:f>$F19*Sakinler!$E$7</x:f>
        <x:v>263.91752577319585</x:v>
      </x:c>
      <x:c r="L19" s="22" t="n">
        <x:f>$F19*Sakinler!$E$8</x:f>
        <x:v>247.4226804123711</x:v>
      </x:c>
      <x:c r="M19" s="22" t="n">
        <x:f>$F19*Sakinler!$E$9</x:f>
        <x:v>434.36426116838487</x:v>
      </x:c>
      <x:c r="N19" s="22" t="n">
        <x:f>$F19*Sakinler!$E$10</x:f>
        <x:v>346.39175257731955</x:v>
      </x:c>
      <x:c r="O19" s="22" t="n">
        <x:f>$F19*Sakinler!$E$11</x:f>
        <x:v>324.39862542955325</x:v>
      </x:c>
      <x:c r="P19" s="22" t="n">
        <x:f>SUM(H19:O19)</x:f>
        <x:v>2400</x:v>
      </x:c>
    </x:row>
    <x:row r="20">
      <x:c r="A20" s="20" t="n">
        <x:v>46074</x:v>
      </x:c>
      <x:c r="B20" s="20" t="n">
        <x:v>46054</x:v>
      </x:c>
      <x:c r="C20" t="str">
        <x:v>Yangın Sistemleri</x:v>
      </x:c>
      <x:c r="D20" t="str">
        <x:v>Yangın tüpü kontrol ve dolumu</x:v>
      </x:c>
      <x:c r="E20" t="str">
        <x:v>Banka</x:v>
      </x:c>
      <x:c r="F20" s="22" t="n">
        <x:v>4200</x:v>
      </x:c>
      <x:c r="G20" s="22" t="str">
        <x:v>B003-G0017</x:v>
      </x:c>
      <x:c r="H20" s="22" t="n">
        <x:f>$F20*Sakinler!$E$4</x:f>
        <x:v>432.9896907216495</x:v>
      </x:c>
      <x:c r="I20" s="22" t="n">
        <x:f>$F20*Sakinler!$E$5</x:f>
        <x:v>432.9896907216495</x:v>
      </x:c>
      <x:c r="J20" s="22" t="n">
        <x:f>$F20*Sakinler!$E$6</x:f>
        <x:v>505.1546391752577</x:v>
      </x:c>
      <x:c r="K20" s="22" t="n">
        <x:f>$F20*Sakinler!$E$7</x:f>
        <x:v>461.8556701030928</x:v>
      </x:c>
      <x:c r="L20" s="22" t="n">
        <x:f>$F20*Sakinler!$E$8</x:f>
        <x:v>432.9896907216495</x:v>
      </x:c>
      <x:c r="M20" s="22" t="n">
        <x:f>$F20*Sakinler!$E$9</x:f>
        <x:v>760.1374570446735</x:v>
      </x:c>
      <x:c r="N20" s="22" t="n">
        <x:f>$F20*Sakinler!$E$10</x:f>
        <x:v>606.1855670103092</x:v>
      </x:c>
      <x:c r="O20" s="22" t="n">
        <x:f>$F20*Sakinler!$E$11</x:f>
        <x:v>567.6975945017182</x:v>
      </x:c>
      <x:c r="P20" s="22" t="n">
        <x:f>SUM(H20:O20)</x:f>
        <x:v>4199.999999999999</x:v>
      </x:c>
    </x:row>
    <x:row r="21">
      <x:c r="A21" s="20" t="n">
        <x:v>46078</x:v>
      </x:c>
      <x:c r="B21" s="20" t="n">
        <x:v>46054</x:v>
      </x:c>
      <x:c r="C21" t="str">
        <x:v>Yönetim Hizmeti</x:v>
      </x:c>
      <x:c r="D21" t="str">
        <x:v>Yönetim hizmet bedeli</x:v>
      </x:c>
      <x:c r="E21" t="str">
        <x:v>Banka</x:v>
      </x:c>
      <x:c r="F21" s="22" t="n">
        <x:v>2500</x:v>
      </x:c>
      <x:c r="G21" s="22" t="str">
        <x:v>B003-G0018</x:v>
      </x:c>
      <x:c r="H21" s="22" t="n">
        <x:f>$F21*Sakinler!$E$4</x:f>
        <x:v>257.73195876288656</x:v>
      </x:c>
      <x:c r="I21" s="22" t="n">
        <x:f>$F21*Sakinler!$E$5</x:f>
        <x:v>257.73195876288656</x:v>
      </x:c>
      <x:c r="J21" s="22" t="n">
        <x:f>$F21*Sakinler!$E$6</x:f>
        <x:v>300.6872852233677</x:v>
      </x:c>
      <x:c r="K21" s="22" t="n">
        <x:f>$F21*Sakinler!$E$7</x:f>
        <x:v>274.914089347079</x:v>
      </x:c>
      <x:c r="L21" s="22" t="n">
        <x:f>$F21*Sakinler!$E$8</x:f>
        <x:v>257.73195876288656</x:v>
      </x:c>
      <x:c r="M21" s="22" t="n">
        <x:f>$F21*Sakinler!$E$9</x:f>
        <x:v>452.46277205040093</x:v>
      </x:c>
      <x:c r="N21" s="22" t="n">
        <x:f>$F21*Sakinler!$E$10</x:f>
        <x:v>360.8247422680412</x:v>
      </x:c>
      <x:c r="O21" s="22" t="n">
        <x:f>$F21*Sakinler!$E$11</x:f>
        <x:v>337.9152348224513</x:v>
      </x:c>
      <x:c r="P21" s="22" t="n">
        <x:f>SUM(H21:O21)</x:f>
        <x:v>2499.9999999999995</x:v>
      </x:c>
    </x:row>
    <x:row r="22">
      <x:c r="A22" s="20" t="n">
        <x:v>46086</x:v>
      </x:c>
      <x:c r="B22" s="20" t="n">
        <x:v>46082</x:v>
      </x:c>
      <x:c r="C22" t="str">
        <x:v>Ortak Alan Elektrik</x:v>
      </x:c>
      <x:c r="D22" t="str">
        <x:v>Mart ortak alan elektrik</x:v>
      </x:c>
      <x:c r="E22" t="str">
        <x:v>Banka</x:v>
      </x:c>
      <x:c r="F22" s="22" t="n">
        <x:v>1260</x:v>
      </x:c>
      <x:c r="G22" s="22" t="str">
        <x:v>B003-G0019</x:v>
      </x:c>
      <x:c r="H22" s="22" t="n">
        <x:f>$F22*Sakinler!$E$4</x:f>
        <x:v>129.89690721649484</x:v>
      </x:c>
      <x:c r="I22" s="22" t="n">
        <x:f>$F22*Sakinler!$E$5</x:f>
        <x:v>129.89690721649484</x:v>
      </x:c>
      <x:c r="J22" s="22" t="n">
        <x:f>$F22*Sakinler!$E$6</x:f>
        <x:v>151.54639175257734</x:v>
      </x:c>
      <x:c r="K22" s="22" t="n">
        <x:f>$F22*Sakinler!$E$7</x:f>
        <x:v>138.55670103092783</x:v>
      </x:c>
      <x:c r="L22" s="22" t="n">
        <x:f>$F22*Sakinler!$E$8</x:f>
        <x:v>129.89690721649484</x:v>
      </x:c>
      <x:c r="M22" s="22" t="n">
        <x:f>$F22*Sakinler!$E$9</x:f>
        <x:v>228.04123711340205</x:v>
      </x:c>
      <x:c r="N22" s="22" t="n">
        <x:f>$F22*Sakinler!$E$10</x:f>
        <x:v>181.85567010309276</x:v>
      </x:c>
      <x:c r="O22" s="22" t="n">
        <x:f>$F22*Sakinler!$E$11</x:f>
        <x:v>170.30927835051546</x:v>
      </x:c>
      <x:c r="P22" s="22" t="n">
        <x:f>SUM(H22:O22)</x:f>
        <x:v>1260</x:v>
      </x:c>
    </x:row>
    <x:row r="23">
      <x:c r="A23" s="20" t="n">
        <x:v>46090</x:v>
      </x:c>
      <x:c r="B23" s="20" t="n">
        <x:v>46082</x:v>
      </x:c>
      <x:c r="C23" t="str">
        <x:v>Ortak Alan Su</x:v>
      </x:c>
      <x:c r="D23" t="str">
        <x:v>Mart ortak alan su</x:v>
      </x:c>
      <x:c r="E23" t="str">
        <x:v>Banka</x:v>
      </x:c>
      <x:c r="F23" s="22" t="n">
        <x:v>710</x:v>
      </x:c>
      <x:c r="G23" s="22" t="str">
        <x:v>B003-G0020</x:v>
      </x:c>
      <x:c r="H23" s="22" t="n">
        <x:f>$F23*Sakinler!$E$4</x:f>
        <x:v>73.19587628865979</x:v>
      </x:c>
      <x:c r="I23" s="22" t="n">
        <x:f>$F23*Sakinler!$E$5</x:f>
        <x:v>73.19587628865979</x:v>
      </x:c>
      <x:c r="J23" s="22" t="n">
        <x:f>$F23*Sakinler!$E$6</x:f>
        <x:v>85.39518900343643</x:v>
      </x:c>
      <x:c r="K23" s="22" t="n">
        <x:f>$F23*Sakinler!$E$7</x:f>
        <x:v>78.07560137457044</x:v>
      </x:c>
      <x:c r="L23" s="22" t="n">
        <x:f>$F23*Sakinler!$E$8</x:f>
        <x:v>73.19587628865979</x:v>
      </x:c>
      <x:c r="M23" s="22" t="n">
        <x:f>$F23*Sakinler!$E$9</x:f>
        <x:v>128.49942726231384</x:v>
      </x:c>
      <x:c r="N23" s="22" t="n">
        <x:f>$F23*Sakinler!$E$10</x:f>
        <x:v>102.4742268041237</x:v>
      </x:c>
      <x:c r="O23" s="22" t="n">
        <x:f>$F23*Sakinler!$E$11</x:f>
        <x:v>95.96792668957617</x:v>
      </x:c>
      <x:c r="P23" s="22" t="n">
        <x:f>SUM(H23:O23)</x:f>
        <x:v>710</x:v>
      </x:c>
    </x:row>
    <x:row r="24">
      <x:c r="A24" s="20" t="n">
        <x:v>46094</x:v>
      </x:c>
      <x:c r="B24" s="20" t="n">
        <x:v>46082</x:v>
      </x:c>
      <x:c r="C24" t="str">
        <x:v>Asansör Bakımı</x:v>
      </x:c>
      <x:c r="D24" t="str">
        <x:v>Aylık asansör bakımı</x:v>
      </x:c>
      <x:c r="E24" t="str">
        <x:v>Banka</x:v>
      </x:c>
      <x:c r="F24" s="22" t="n">
        <x:v>2100</x:v>
      </x:c>
      <x:c r="G24" s="22" t="str">
        <x:v>B003-G0021</x:v>
      </x:c>
      <x:c r="H24" s="22" t="n">
        <x:f>$F24*Sakinler!$E$4</x:f>
        <x:v>216.49484536082474</x:v>
      </x:c>
      <x:c r="I24" s="22" t="n">
        <x:f>$F24*Sakinler!$E$5</x:f>
        <x:v>216.49484536082474</x:v>
      </x:c>
      <x:c r="J24" s="22" t="n">
        <x:f>$F24*Sakinler!$E$6</x:f>
        <x:v>252.57731958762886</x:v>
      </x:c>
      <x:c r="K24" s="22" t="n">
        <x:f>$F24*Sakinler!$E$7</x:f>
        <x:v>230.9278350515464</x:v>
      </x:c>
      <x:c r="L24" s="22" t="n">
        <x:f>$F24*Sakinler!$E$8</x:f>
        <x:v>216.49484536082474</x:v>
      </x:c>
      <x:c r="M24" s="22" t="n">
        <x:f>$F24*Sakinler!$E$9</x:f>
        <x:v>380.06872852233676</x:v>
      </x:c>
      <x:c r="N24" s="22" t="n">
        <x:f>$F24*Sakinler!$E$10</x:f>
        <x:v>303.0927835051546</x:v>
      </x:c>
      <x:c r="O24" s="22" t="n">
        <x:f>$F24*Sakinler!$E$11</x:f>
        <x:v>283.8487972508591</x:v>
      </x:c>
      <x:c r="P24" s="22" t="n">
        <x:f>SUM(H24:O24)</x:f>
        <x:v>2099.9999999999995</x:v>
      </x:c>
    </x:row>
    <x:row r="25">
      <x:c r="A25" s="20" t="n">
        <x:v>46098</x:v>
      </x:c>
      <x:c r="B25" s="20" t="n">
        <x:v>46082</x:v>
      </x:c>
      <x:c r="C25" t="str">
        <x:v>Onarım</x:v>
      </x:c>
      <x:c r="D25" t="str">
        <x:v>Tesisat ustası küçük onarım</x:v>
      </x:c>
      <x:c r="E25" t="str">
        <x:v>Nakit</x:v>
      </x:c>
      <x:c r="F25" s="22" t="n">
        <x:v>3800</x:v>
      </x:c>
      <x:c r="G25" s="22" t="str">
        <x:v>B003-G0022</x:v>
      </x:c>
      <x:c r="H25" s="22" t="n">
        <x:f>$F25*Sakinler!$E$4</x:f>
        <x:v>391.7525773195876</x:v>
      </x:c>
      <x:c r="I25" s="22" t="n">
        <x:f>$F25*Sakinler!$E$5</x:f>
        <x:v>391.7525773195876</x:v>
      </x:c>
      <x:c r="J25" s="22" t="n">
        <x:f>$F25*Sakinler!$E$6</x:f>
        <x:v>457.0446735395189</x:v>
      </x:c>
      <x:c r="K25" s="22" t="n">
        <x:f>$F25*Sakinler!$E$7</x:f>
        <x:v>417.86941580756013</x:v>
      </x:c>
      <x:c r="L25" s="22" t="n">
        <x:f>$F25*Sakinler!$E$8</x:f>
        <x:v>391.7525773195876</x:v>
      </x:c>
      <x:c r="M25" s="22" t="n">
        <x:f>$F25*Sakinler!$E$9</x:f>
        <x:v>687.7434135166094</x:v>
      </x:c>
      <x:c r="N25" s="22" t="n">
        <x:f>$F25*Sakinler!$E$10</x:f>
        <x:v>548.4536082474226</x:v>
      </x:c>
      <x:c r="O25" s="22" t="n">
        <x:f>$F25*Sakinler!$E$11</x:f>
        <x:v>513.6311569301259</x:v>
      </x:c>
      <x:c r="P25" s="22" t="n">
        <x:f>SUM(H25:O25)</x:f>
        <x:v>3800</x:v>
      </x:c>
    </x:row>
    <x:row r="26">
      <x:c r="A26" s="20" t="n">
        <x:v>46102</x:v>
      </x:c>
      <x:c r="B26" s="20" t="n">
        <x:v>46082</x:v>
      </x:c>
      <x:c r="C26" t="str">
        <x:v>Temizlik</x:v>
      </x:c>
      <x:c r="D26" t="str">
        <x:v>Ortak alan temizliği</x:v>
      </x:c>
      <x:c r="E26" t="str">
        <x:v>Nakit</x:v>
      </x:c>
      <x:c r="F26" s="22" t="n">
        <x:v>2400</x:v>
      </x:c>
      <x:c r="G26" s="22" t="str">
        <x:v>B003-G0023</x:v>
      </x:c>
      <x:c r="H26" s="22" t="n">
        <x:f>$F26*Sakinler!$E$4</x:f>
        <x:v>247.4226804123711</x:v>
      </x:c>
      <x:c r="I26" s="22" t="n">
        <x:f>$F26*Sakinler!$E$5</x:f>
        <x:v>247.4226804123711</x:v>
      </x:c>
      <x:c r="J26" s="22" t="n">
        <x:f>$F26*Sakinler!$E$6</x:f>
        <x:v>288.659793814433</x:v>
      </x:c>
      <x:c r="K26" s="22" t="n">
        <x:f>$F26*Sakinler!$E$7</x:f>
        <x:v>263.91752577319585</x:v>
      </x:c>
      <x:c r="L26" s="22" t="n">
        <x:f>$F26*Sakinler!$E$8</x:f>
        <x:v>247.4226804123711</x:v>
      </x:c>
      <x:c r="M26" s="22" t="n">
        <x:f>$F26*Sakinler!$E$9</x:f>
        <x:v>434.36426116838487</x:v>
      </x:c>
      <x:c r="N26" s="22" t="n">
        <x:f>$F26*Sakinler!$E$10</x:f>
        <x:v>346.39175257731955</x:v>
      </x:c>
      <x:c r="O26" s="22" t="n">
        <x:f>$F26*Sakinler!$E$11</x:f>
        <x:v>324.39862542955325</x:v>
      </x:c>
      <x:c r="P26" s="22" t="n">
        <x:f>SUM(H26:O26)</x:f>
        <x:v>2400</x:v>
      </x:c>
    </x:row>
    <x:row r="27">
      <x:c r="A27" s="20" t="n">
        <x:v>46106</x:v>
      </x:c>
      <x:c r="B27" s="20" t="n">
        <x:v>46082</x:v>
      </x:c>
      <x:c r="C27" t="str">
        <x:v>Yönetim Hizmeti</x:v>
      </x:c>
      <x:c r="D27" t="str">
        <x:v>Yönetim hizmet bedeli</x:v>
      </x:c>
      <x:c r="E27" t="str">
        <x:v>Banka</x:v>
      </x:c>
      <x:c r="F27" s="22" t="n">
        <x:v>2500</x:v>
      </x:c>
      <x:c r="G27" s="22" t="str">
        <x:v>B003-G0024</x:v>
      </x:c>
      <x:c r="H27" s="22" t="n">
        <x:f>$F27*Sakinler!$E$4</x:f>
        <x:v>257.73195876288656</x:v>
      </x:c>
      <x:c r="I27" s="22" t="n">
        <x:f>$F27*Sakinler!$E$5</x:f>
        <x:v>257.73195876288656</x:v>
      </x:c>
      <x:c r="J27" s="22" t="n">
        <x:f>$F27*Sakinler!$E$6</x:f>
        <x:v>300.6872852233677</x:v>
      </x:c>
      <x:c r="K27" s="22" t="n">
        <x:f>$F27*Sakinler!$E$7</x:f>
        <x:v>274.914089347079</x:v>
      </x:c>
      <x:c r="L27" s="22" t="n">
        <x:f>$F27*Sakinler!$E$8</x:f>
        <x:v>257.73195876288656</x:v>
      </x:c>
      <x:c r="M27" s="22" t="n">
        <x:f>$F27*Sakinler!$E$9</x:f>
        <x:v>452.46277205040093</x:v>
      </x:c>
      <x:c r="N27" s="22" t="n">
        <x:f>$F27*Sakinler!$E$10</x:f>
        <x:v>360.8247422680412</x:v>
      </x:c>
      <x:c r="O27" s="22" t="n">
        <x:f>$F27*Sakinler!$E$11</x:f>
        <x:v>337.9152348224513</x:v>
      </x:c>
      <x:c r="P27" s="22" t="n">
        <x:f>SUM(H27:O27)</x:f>
        <x:v>2499.9999999999995</x:v>
      </x:c>
    </x:row>
    <x:row r="28">
      <x:c r="A28" s="20" t="n">
        <x:v>46117</x:v>
      </x:c>
      <x:c r="B28" s="20" t="n">
        <x:v>46113</x:v>
      </x:c>
      <x:c r="C28" t="str">
        <x:v>Ortak Alan Elektrik</x:v>
      </x:c>
      <x:c r="D28" t="str">
        <x:v>Nisan ortak alan elektrik</x:v>
      </x:c>
      <x:c r="E28" t="str">
        <x:v>Banka</x:v>
      </x:c>
      <x:c r="F28" s="22" t="n">
        <x:v>1350</x:v>
      </x:c>
      <x:c r="G28" s="22" t="str">
        <x:v>B003-G0025</x:v>
      </x:c>
      <x:c r="H28" s="22" t="n">
        <x:f>$F28*Sakinler!$E$4</x:f>
        <x:v>139.17525773195877</x:v>
      </x:c>
      <x:c r="I28" s="22" t="n">
        <x:f>$F28*Sakinler!$E$5</x:f>
        <x:v>139.17525773195877</x:v>
      </x:c>
      <x:c r="J28" s="22" t="n">
        <x:f>$F28*Sakinler!$E$6</x:f>
        <x:v>162.37113402061857</x:v>
      </x:c>
      <x:c r="K28" s="22" t="n">
        <x:f>$F28*Sakinler!$E$7</x:f>
        <x:v>148.45360824742266</x:v>
      </x:c>
      <x:c r="L28" s="22" t="n">
        <x:f>$F28*Sakinler!$E$8</x:f>
        <x:v>139.17525773195877</x:v>
      </x:c>
      <x:c r="M28" s="22" t="n">
        <x:f>$F28*Sakinler!$E$9</x:f>
        <x:v>244.3298969072165</x:v>
      </x:c>
      <x:c r="N28" s="22" t="n">
        <x:f>$F28*Sakinler!$E$10</x:f>
        <x:v>194.84536082474224</x:v>
      </x:c>
      <x:c r="O28" s="22" t="n">
        <x:f>$F28*Sakinler!$E$11</x:f>
        <x:v>182.4742268041237</x:v>
      </x:c>
      <x:c r="P28" s="22" t="n">
        <x:f>SUM(H28:O28)</x:f>
        <x:v>1349.9999999999998</x:v>
      </x:c>
    </x:row>
    <x:row r="29">
      <x:c r="A29" s="20" t="n">
        <x:v>46121</x:v>
      </x:c>
      <x:c r="B29" s="20" t="n">
        <x:v>46113</x:v>
      </x:c>
      <x:c r="C29" t="str">
        <x:v>Ortak Alan Su</x:v>
      </x:c>
      <x:c r="D29" t="str">
        <x:v>Nisan ortak alan su</x:v>
      </x:c>
      <x:c r="E29" t="str">
        <x:v>Banka</x:v>
      </x:c>
      <x:c r="F29" s="22" t="n">
        <x:v>730</x:v>
      </x:c>
      <x:c r="G29" s="22" t="str">
        <x:v>B003-G0026</x:v>
      </x:c>
      <x:c r="H29" s="22" t="n">
        <x:f>$F29*Sakinler!$E$4</x:f>
        <x:v>75.25773195876289</x:v>
      </x:c>
      <x:c r="I29" s="22" t="n">
        <x:f>$F29*Sakinler!$E$5</x:f>
        <x:v>75.25773195876289</x:v>
      </x:c>
      <x:c r="J29" s="22" t="n">
        <x:f>$F29*Sakinler!$E$6</x:f>
        <x:v>87.80068728522338</x:v>
      </x:c>
      <x:c r="K29" s="22" t="n">
        <x:f>$F29*Sakinler!$E$7</x:f>
        <x:v>80.27491408934708</x:v>
      </x:c>
      <x:c r="L29" s="22" t="n">
        <x:f>$F29*Sakinler!$E$8</x:f>
        <x:v>75.25773195876289</x:v>
      </x:c>
      <x:c r="M29" s="22" t="n">
        <x:f>$F29*Sakinler!$E$9</x:f>
        <x:v>132.11912943871707</x:v>
      </x:c>
      <x:c r="N29" s="22" t="n">
        <x:f>$F29*Sakinler!$E$10</x:f>
        <x:v>105.36082474226804</x:v>
      </x:c>
      <x:c r="O29" s="22" t="n">
        <x:f>$F29*Sakinler!$E$11</x:f>
        <x:v>98.67124856815578</x:v>
      </x:c>
      <x:c r="P29" s="22" t="n">
        <x:f>SUM(H29:O29)</x:f>
        <x:v>730</x:v>
      </x:c>
    </x:row>
    <x:row r="30">
      <x:c r="A30" s="20" t="n">
        <x:v>46125</x:v>
      </x:c>
      <x:c r="B30" s="20" t="n">
        <x:v>46113</x:v>
      </x:c>
      <x:c r="C30" t="str">
        <x:v>Asansör Bakımı</x:v>
      </x:c>
      <x:c r="D30" t="str">
        <x:v>Aylık asansör bakımı</x:v>
      </x:c>
      <x:c r="E30" t="str">
        <x:v>Banka</x:v>
      </x:c>
      <x:c r="F30" s="22" t="n">
        <x:v>2200</x:v>
      </x:c>
      <x:c r="G30" s="22" t="str">
        <x:v>B003-G0027</x:v>
      </x:c>
      <x:c r="H30" s="22" t="n">
        <x:f>$F30*Sakinler!$E$4</x:f>
        <x:v>226.8041237113402</x:v>
      </x:c>
      <x:c r="I30" s="22" t="n">
        <x:f>$F30*Sakinler!$E$5</x:f>
        <x:v>226.8041237113402</x:v>
      </x:c>
      <x:c r="J30" s="22" t="n">
        <x:f>$F30*Sakinler!$E$6</x:f>
        <x:v>264.6048109965636</x:v>
      </x:c>
      <x:c r="K30" s="22" t="n">
        <x:f>$F30*Sakinler!$E$7</x:f>
        <x:v>241.92439862542955</x:v>
      </x:c>
      <x:c r="L30" s="22" t="n">
        <x:f>$F30*Sakinler!$E$8</x:f>
        <x:v>226.8041237113402</x:v>
      </x:c>
      <x:c r="M30" s="22" t="n">
        <x:f>$F30*Sakinler!$E$9</x:f>
        <x:v>398.1672394043528</x:v>
      </x:c>
      <x:c r="N30" s="22" t="n">
        <x:f>$F30*Sakinler!$E$10</x:f>
        <x:v>317.52577319587624</x:v>
      </x:c>
      <x:c r="O30" s="22" t="n">
        <x:f>$F30*Sakinler!$E$11</x:f>
        <x:v>297.3654066437571</x:v>
      </x:c>
      <x:c r="P30" s="22" t="n">
        <x:f>SUM(H30:O30)</x:f>
        <x:v>2200</x:v>
      </x:c>
    </x:row>
    <x:row r="31">
      <x:c r="A31" s="20" t="n">
        <x:v>46129</x:v>
      </x:c>
      <x:c r="B31" s="20" t="n">
        <x:v>46113</x:v>
      </x:c>
      <x:c r="C31" t="str">
        <x:v>Hidrofor Bakımı</x:v>
      </x:c>
      <x:c r="D31" t="str">
        <x:v>Hidrofor parça değişimi</x:v>
      </x:c>
      <x:c r="E31" t="str">
        <x:v>Banka</x:v>
      </x:c>
      <x:c r="F31" s="22" t="n">
        <x:v>6200</x:v>
      </x:c>
      <x:c r="G31" s="22" t="str">
        <x:v>B003-G0028</x:v>
      </x:c>
      <x:c r="H31" s="22" t="n">
        <x:f>$F31*Sakinler!$E$4</x:f>
        <x:v>639.1752577319587</x:v>
      </x:c>
      <x:c r="I31" s="22" t="n">
        <x:f>$F31*Sakinler!$E$5</x:f>
        <x:v>639.1752577319587</x:v>
      </x:c>
      <x:c r="J31" s="22" t="n">
        <x:f>$F31*Sakinler!$E$6</x:f>
        <x:v>745.7044673539519</x:v>
      </x:c>
      <x:c r="K31" s="22" t="n">
        <x:f>$F31*Sakinler!$E$7</x:f>
        <x:v>681.786941580756</x:v>
      </x:c>
      <x:c r="L31" s="22" t="n">
        <x:f>$F31*Sakinler!$E$8</x:f>
        <x:v>639.1752577319587</x:v>
      </x:c>
      <x:c r="M31" s="22" t="n">
        <x:f>$F31*Sakinler!$E$9</x:f>
        <x:v>1122.1076746849942</x:v>
      </x:c>
      <x:c r="N31" s="22" t="n">
        <x:f>$F31*Sakinler!$E$10</x:f>
        <x:v>894.8453608247422</x:v>
      </x:c>
      <x:c r="O31" s="22" t="n">
        <x:f>$F31*Sakinler!$E$11</x:f>
        <x:v>838.0297823596792</x:v>
      </x:c>
      <x:c r="P31" s="22" t="n">
        <x:f>SUM(H31:O31)</x:f>
        <x:v>6199.999999999999</x:v>
      </x:c>
    </x:row>
    <x:row r="32">
      <x:c r="A32" s="20" t="n">
        <x:v>46133</x:v>
      </x:c>
      <x:c r="B32" s="20" t="n">
        <x:v>46113</x:v>
      </x:c>
      <x:c r="C32" t="str">
        <x:v>Bahçe Bakımı</x:v>
      </x:c>
      <x:c r="D32" t="str">
        <x:v>Bahçe düzenleme ve bakım</x:v>
      </x:c>
      <x:c r="E32" t="str">
        <x:v>Nakit</x:v>
      </x:c>
      <x:c r="F32" s="22" t="n">
        <x:v>2600</x:v>
      </x:c>
      <x:c r="G32" s="22" t="str">
        <x:v>B003-G0029</x:v>
      </x:c>
      <x:c r="H32" s="22" t="n">
        <x:f>$F32*Sakinler!$E$4</x:f>
        <x:v>268.0412371134021</x:v>
      </x:c>
      <x:c r="I32" s="22" t="n">
        <x:f>$F32*Sakinler!$E$5</x:f>
        <x:v>268.0412371134021</x:v>
      </x:c>
      <x:c r="J32" s="22" t="n">
        <x:f>$F32*Sakinler!$E$6</x:f>
        <x:v>312.7147766323024</x:v>
      </x:c>
      <x:c r="K32" s="22" t="n">
        <x:f>$F32*Sakinler!$E$7</x:f>
        <x:v>285.9106529209622</x:v>
      </x:c>
      <x:c r="L32" s="22" t="n">
        <x:f>$F32*Sakinler!$E$8</x:f>
        <x:v>268.0412371134021</x:v>
      </x:c>
      <x:c r="M32" s="22" t="n">
        <x:f>$F32*Sakinler!$E$9</x:f>
        <x:v>470.56128293241693</x:v>
      </x:c>
      <x:c r="N32" s="22" t="n">
        <x:f>$F32*Sakinler!$E$10</x:f>
        <x:v>375.25773195876286</x:v>
      </x:c>
      <x:c r="O32" s="22" t="n">
        <x:f>$F32*Sakinler!$E$11</x:f>
        <x:v>351.4318442153494</x:v>
      </x:c>
      <x:c r="P32" s="22" t="n">
        <x:f>SUM(H32:O32)</x:f>
        <x:v>2599.9999999999995</x:v>
      </x:c>
    </x:row>
    <x:row r="33">
      <x:c r="A33" s="20" t="n">
        <x:v>46137</x:v>
      </x:c>
      <x:c r="B33" s="20" t="n">
        <x:v>46113</x:v>
      </x:c>
      <x:c r="C33" t="str">
        <x:v>Yönetim Hizmeti</x:v>
      </x:c>
      <x:c r="D33" t="str">
        <x:v>Yönetim hizmet bedeli</x:v>
      </x:c>
      <x:c r="E33" t="str">
        <x:v>Banka</x:v>
      </x:c>
      <x:c r="F33" s="22" t="n">
        <x:v>2500</x:v>
      </x:c>
      <x:c r="G33" s="22" t="str">
        <x:v>B003-G0030</x:v>
      </x:c>
      <x:c r="H33" s="22" t="n">
        <x:f>$F33*Sakinler!$E$4</x:f>
        <x:v>257.73195876288656</x:v>
      </x:c>
      <x:c r="I33" s="22" t="n">
        <x:f>$F33*Sakinler!$E$5</x:f>
        <x:v>257.73195876288656</x:v>
      </x:c>
      <x:c r="J33" s="22" t="n">
        <x:f>$F33*Sakinler!$E$6</x:f>
        <x:v>300.6872852233677</x:v>
      </x:c>
      <x:c r="K33" s="22" t="n">
        <x:f>$F33*Sakinler!$E$7</x:f>
        <x:v>274.914089347079</x:v>
      </x:c>
      <x:c r="L33" s="22" t="n">
        <x:f>$F33*Sakinler!$E$8</x:f>
        <x:v>257.73195876288656</x:v>
      </x:c>
      <x:c r="M33" s="22" t="n">
        <x:f>$F33*Sakinler!$E$9</x:f>
        <x:v>452.46277205040093</x:v>
      </x:c>
      <x:c r="N33" s="22" t="n">
        <x:f>$F33*Sakinler!$E$10</x:f>
        <x:v>360.8247422680412</x:v>
      </x:c>
      <x:c r="O33" s="22" t="n">
        <x:f>$F33*Sakinler!$E$11</x:f>
        <x:v>337.9152348224513</x:v>
      </x:c>
      <x:c r="P33" s="22" t="n">
        <x:f>SUM(H33:O33)</x:f>
        <x:v>2499.9999999999995</x:v>
      </x:c>
    </x:row>
    <x:row r="34">
      <x:c r="A34" s="20" t="n">
        <x:v>46147</x:v>
      </x:c>
      <x:c r="B34" s="20" t="n">
        <x:v>46143</x:v>
      </x:c>
      <x:c r="C34" t="str">
        <x:v>Ortak Alan Elektrik</x:v>
      </x:c>
      <x:c r="D34" t="str">
        <x:v>Mayıs ortak alan elektrik</x:v>
      </x:c>
      <x:c r="E34" t="str">
        <x:v>Banka</x:v>
      </x:c>
      <x:c r="F34" s="22" t="n">
        <x:v>1450</x:v>
      </x:c>
      <x:c r="G34" s="22" t="str">
        <x:v>B003-G0031</x:v>
      </x:c>
      <x:c r="H34" s="22" t="n">
        <x:f>$F34*Sakinler!$E$4</x:f>
        <x:v>149.48453608247422</x:v>
      </x:c>
      <x:c r="I34" s="22" t="n">
        <x:f>$F34*Sakinler!$E$5</x:f>
        <x:v>149.48453608247422</x:v>
      </x:c>
      <x:c r="J34" s="22" t="n">
        <x:f>$F34*Sakinler!$E$6</x:f>
        <x:v>174.39862542955328</x:v>
      </x:c>
      <x:c r="K34" s="22" t="n">
        <x:f>$F34*Sakinler!$E$7</x:f>
        <x:v>159.45017182130584</x:v>
      </x:c>
      <x:c r="L34" s="22" t="n">
        <x:f>$F34*Sakinler!$E$8</x:f>
        <x:v>149.48453608247422</x:v>
      </x:c>
      <x:c r="M34" s="22" t="n">
        <x:f>$F34*Sakinler!$E$9</x:f>
        <x:v>262.42840778923255</x:v>
      </x:c>
      <x:c r="N34" s="22" t="n">
        <x:f>$F34*Sakinler!$E$10</x:f>
        <x:v>209.2783505154639</x:v>
      </x:c>
      <x:c r="O34" s="22" t="n">
        <x:f>$F34*Sakinler!$E$11</x:f>
        <x:v>195.99083619702176</x:v>
      </x:c>
      <x:c r="P34" s="22" t="n">
        <x:f>SUM(H34:O34)</x:f>
        <x:v>1450</x:v>
      </x:c>
    </x:row>
    <x:row r="35">
      <x:c r="A35" s="20" t="n">
        <x:v>46151</x:v>
      </x:c>
      <x:c r="B35" s="20" t="n">
        <x:v>46143</x:v>
      </x:c>
      <x:c r="C35" t="str">
        <x:v>Ortak Alan Su</x:v>
      </x:c>
      <x:c r="D35" t="str">
        <x:v>Mayıs ortak alan su</x:v>
      </x:c>
      <x:c r="E35" t="str">
        <x:v>Banka</x:v>
      </x:c>
      <x:c r="F35" s="22" t="n">
        <x:v>780</x:v>
      </x:c>
      <x:c r="G35" s="22" t="str">
        <x:v>B003-G0032</x:v>
      </x:c>
      <x:c r="H35" s="22" t="n">
        <x:f>$F35*Sakinler!$E$4</x:f>
        <x:v>80.41237113402062</x:v>
      </x:c>
      <x:c r="I35" s="22" t="n">
        <x:f>$F35*Sakinler!$E$5</x:f>
        <x:v>80.41237113402062</x:v>
      </x:c>
      <x:c r="J35" s="22" t="n">
        <x:f>$F35*Sakinler!$E$6</x:f>
        <x:v>93.81443298969073</x:v>
      </x:c>
      <x:c r="K35" s="22" t="n">
        <x:f>$F35*Sakinler!$E$7</x:f>
        <x:v>85.77319587628865</x:v>
      </x:c>
      <x:c r="L35" s="22" t="n">
        <x:f>$F35*Sakinler!$E$8</x:f>
        <x:v>80.41237113402062</x:v>
      </x:c>
      <x:c r="M35" s="22" t="n">
        <x:f>$F35*Sakinler!$E$9</x:f>
        <x:v>141.1683848797251</x:v>
      </x:c>
      <x:c r="N35" s="22" t="n">
        <x:f>$F35*Sakinler!$E$10</x:f>
        <x:v>112.57731958762885</x:v>
      </x:c>
      <x:c r="O35" s="22" t="n">
        <x:f>$F35*Sakinler!$E$11</x:f>
        <x:v>105.4295532646048</x:v>
      </x:c>
      <x:c r="P35" s="22" t="n">
        <x:f>SUM(H35:O35)</x:f>
        <x:v>779.9999999999999</x:v>
      </x:c>
    </x:row>
    <x:row r="36">
      <x:c r="A36" s="20" t="n">
        <x:v>46155</x:v>
      </x:c>
      <x:c r="B36" s="20" t="n">
        <x:v>46143</x:v>
      </x:c>
      <x:c r="C36" t="str">
        <x:v>Asansör Bakımı</x:v>
      </x:c>
      <x:c r="D36" t="str">
        <x:v>Aylık asansör bakımı</x:v>
      </x:c>
      <x:c r="E36" t="str">
        <x:v>Banka</x:v>
      </x:c>
      <x:c r="F36" s="22" t="n">
        <x:v>2200</x:v>
      </x:c>
      <x:c r="G36" s="22" t="str">
        <x:v>B003-G0033</x:v>
      </x:c>
      <x:c r="H36" s="22" t="n">
        <x:f>$F36*Sakinler!$E$4</x:f>
        <x:v>226.8041237113402</x:v>
      </x:c>
      <x:c r="I36" s="22" t="n">
        <x:f>$F36*Sakinler!$E$5</x:f>
        <x:v>226.8041237113402</x:v>
      </x:c>
      <x:c r="J36" s="22" t="n">
        <x:f>$F36*Sakinler!$E$6</x:f>
        <x:v>264.6048109965636</x:v>
      </x:c>
      <x:c r="K36" s="22" t="n">
        <x:f>$F36*Sakinler!$E$7</x:f>
        <x:v>241.92439862542955</x:v>
      </x:c>
      <x:c r="L36" s="22" t="n">
        <x:f>$F36*Sakinler!$E$8</x:f>
        <x:v>226.8041237113402</x:v>
      </x:c>
      <x:c r="M36" s="22" t="n">
        <x:f>$F36*Sakinler!$E$9</x:f>
        <x:v>398.1672394043528</x:v>
      </x:c>
      <x:c r="N36" s="22" t="n">
        <x:f>$F36*Sakinler!$E$10</x:f>
        <x:v>317.52577319587624</x:v>
      </x:c>
      <x:c r="O36" s="22" t="n">
        <x:f>$F36*Sakinler!$E$11</x:f>
        <x:v>297.3654066437571</x:v>
      </x:c>
      <x:c r="P36" s="22" t="n">
        <x:f>SUM(H36:O36)</x:f>
        <x:v>2200</x:v>
      </x:c>
    </x:row>
    <x:row r="37">
      <x:c r="A37" s="20" t="n">
        <x:v>46159</x:v>
      </x:c>
      <x:c r="B37" s="20" t="n">
        <x:v>46143</x:v>
      </x:c>
      <x:c r="C37" t="str">
        <x:v>Jeneratör Bakımı</x:v>
      </x:c>
      <x:c r="D37" t="str">
        <x:v>Jeneratör yağ ve filtre bakımı</x:v>
      </x:c>
      <x:c r="E37" t="str">
        <x:v>Banka</x:v>
      </x:c>
      <x:c r="F37" s="22" t="n">
        <x:v>3600</x:v>
      </x:c>
      <x:c r="G37" s="22" t="str">
        <x:v>B003-G0034</x:v>
      </x:c>
      <x:c r="H37" s="22" t="n">
        <x:f>$F37*Sakinler!$E$4</x:f>
        <x:v>371.1340206185567</x:v>
      </x:c>
      <x:c r="I37" s="22" t="n">
        <x:f>$F37*Sakinler!$E$5</x:f>
        <x:v>371.1340206185567</x:v>
      </x:c>
      <x:c r="J37" s="22" t="n">
        <x:f>$F37*Sakinler!$E$6</x:f>
        <x:v>432.9896907216495</x:v>
      </x:c>
      <x:c r="K37" s="22" t="n">
        <x:f>$F37*Sakinler!$E$7</x:f>
        <x:v>395.87628865979383</x:v>
      </x:c>
      <x:c r="L37" s="22" t="n">
        <x:f>$F37*Sakinler!$E$8</x:f>
        <x:v>371.1340206185567</x:v>
      </x:c>
      <x:c r="M37" s="22" t="n">
        <x:f>$F37*Sakinler!$E$9</x:f>
        <x:v>651.5463917525773</x:v>
      </x:c>
      <x:c r="N37" s="22" t="n">
        <x:f>$F37*Sakinler!$E$10</x:f>
        <x:v>519.5876288659794</x:v>
      </x:c>
      <x:c r="O37" s="22" t="n">
        <x:f>$F37*Sakinler!$E$11</x:f>
        <x:v>486.5979381443299</x:v>
      </x:c>
      <x:c r="P37" s="22" t="n">
        <x:f>SUM(H37:O37)</x:f>
        <x:v>3599.9999999999995</x:v>
      </x:c>
    </x:row>
    <x:row r="38">
      <x:c r="A38" s="20" t="n">
        <x:v>46163</x:v>
      </x:c>
      <x:c r="B38" s="20" t="n">
        <x:v>46143</x:v>
      </x:c>
      <x:c r="C38" t="str">
        <x:v>Temizlik</x:v>
      </x:c>
      <x:c r="D38" t="str">
        <x:v>Ortak alan temizliği</x:v>
      </x:c>
      <x:c r="E38" t="str">
        <x:v>Nakit</x:v>
      </x:c>
      <x:c r="F38" s="22" t="n">
        <x:v>2400</x:v>
      </x:c>
      <x:c r="G38" s="22" t="str">
        <x:v>B003-G0035</x:v>
      </x:c>
      <x:c r="H38" s="22" t="n">
        <x:f>$F38*Sakinler!$E$4</x:f>
        <x:v>247.4226804123711</x:v>
      </x:c>
      <x:c r="I38" s="22" t="n">
        <x:f>$F38*Sakinler!$E$5</x:f>
        <x:v>247.4226804123711</x:v>
      </x:c>
      <x:c r="J38" s="22" t="n">
        <x:f>$F38*Sakinler!$E$6</x:f>
        <x:v>288.659793814433</x:v>
      </x:c>
      <x:c r="K38" s="22" t="n">
        <x:f>$F38*Sakinler!$E$7</x:f>
        <x:v>263.91752577319585</x:v>
      </x:c>
      <x:c r="L38" s="22" t="n">
        <x:f>$F38*Sakinler!$E$8</x:f>
        <x:v>247.4226804123711</x:v>
      </x:c>
      <x:c r="M38" s="22" t="n">
        <x:f>$F38*Sakinler!$E$9</x:f>
        <x:v>434.36426116838487</x:v>
      </x:c>
      <x:c r="N38" s="22" t="n">
        <x:f>$F38*Sakinler!$E$10</x:f>
        <x:v>346.39175257731955</x:v>
      </x:c>
      <x:c r="O38" s="22" t="n">
        <x:f>$F38*Sakinler!$E$11</x:f>
        <x:v>324.39862542955325</x:v>
      </x:c>
      <x:c r="P38" s="22" t="n">
        <x:f>SUM(H38:O38)</x:f>
        <x:v>2400</x:v>
      </x:c>
    </x:row>
    <x:row r="39">
      <x:c r="A39" s="20" t="n">
        <x:v>46167</x:v>
      </x:c>
      <x:c r="B39" s="20" t="n">
        <x:v>46143</x:v>
      </x:c>
      <x:c r="C39" t="str">
        <x:v>Yönetim Hizmeti</x:v>
      </x:c>
      <x:c r="D39" t="str">
        <x:v>Yönetim hizmet bedeli</x:v>
      </x:c>
      <x:c r="E39" t="str">
        <x:v>Banka</x:v>
      </x:c>
      <x:c r="F39" s="22" t="n">
        <x:v>2500</x:v>
      </x:c>
      <x:c r="G39" s="22" t="str">
        <x:v>B003-G0036</x:v>
      </x:c>
      <x:c r="H39" s="22" t="n">
        <x:f>$F39*Sakinler!$E$4</x:f>
        <x:v>257.73195876288656</x:v>
      </x:c>
      <x:c r="I39" s="22" t="n">
        <x:f>$F39*Sakinler!$E$5</x:f>
        <x:v>257.73195876288656</x:v>
      </x:c>
      <x:c r="J39" s="22" t="n">
        <x:f>$F39*Sakinler!$E$6</x:f>
        <x:v>300.6872852233677</x:v>
      </x:c>
      <x:c r="K39" s="22" t="n">
        <x:f>$F39*Sakinler!$E$7</x:f>
        <x:v>274.914089347079</x:v>
      </x:c>
      <x:c r="L39" s="22" t="n">
        <x:f>$F39*Sakinler!$E$8</x:f>
        <x:v>257.73195876288656</x:v>
      </x:c>
      <x:c r="M39" s="22" t="n">
        <x:f>$F39*Sakinler!$E$9</x:f>
        <x:v>452.46277205040093</x:v>
      </x:c>
      <x:c r="N39" s="22" t="n">
        <x:f>$F39*Sakinler!$E$10</x:f>
        <x:v>360.8247422680412</x:v>
      </x:c>
      <x:c r="O39" s="22" t="n">
        <x:f>$F39*Sakinler!$E$11</x:f>
        <x:v>337.9152348224513</x:v>
      </x:c>
      <x:c r="P39" s="22" t="n">
        <x:f>SUM(H39:O39)</x:f>
        <x:v>2499.9999999999995</x:v>
      </x:c>
    </x:row>
    <x:row r="40">
      <x:c r="A40" s="20" t="n">
        <x:v>46178</x:v>
      </x:c>
      <x:c r="B40" s="20" t="n">
        <x:v>46174</x:v>
      </x:c>
      <x:c r="C40" t="str">
        <x:v>Ortak Alan Elektrik</x:v>
      </x:c>
      <x:c r="D40" t="str">
        <x:v>Haziran ortak alan elektrik</x:v>
      </x:c>
      <x:c r="E40" t="str">
        <x:v>Banka</x:v>
      </x:c>
      <x:c r="F40" s="22" t="n">
        <x:v>1550</x:v>
      </x:c>
      <x:c r="G40" s="22" t="str">
        <x:v>B003-G0037</x:v>
      </x:c>
      <x:c r="H40" s="22" t="n">
        <x:f>$F40*Sakinler!$E$4</x:f>
        <x:v>159.79381443298968</x:v>
      </x:c>
      <x:c r="I40" s="22" t="n">
        <x:f>$F40*Sakinler!$E$5</x:f>
        <x:v>159.79381443298968</x:v>
      </x:c>
      <x:c r="J40" s="22" t="n">
        <x:f>$F40*Sakinler!$E$6</x:f>
        <x:v>186.42611683848799</x:v>
      </x:c>
      <x:c r="K40" s="22" t="n">
        <x:f>$F40*Sakinler!$E$7</x:f>
        <x:v>170.446735395189</x:v>
      </x:c>
      <x:c r="L40" s="22" t="n">
        <x:f>$F40*Sakinler!$E$8</x:f>
        <x:v>159.79381443298968</x:v>
      </x:c>
      <x:c r="M40" s="22" t="n">
        <x:f>$F40*Sakinler!$E$9</x:f>
        <x:v>280.52691867124855</x:v>
      </x:c>
      <x:c r="N40" s="22" t="n">
        <x:f>$F40*Sakinler!$E$10</x:f>
        <x:v>223.71134020618555</x:v>
      </x:c>
      <x:c r="O40" s="22" t="n">
        <x:f>$F40*Sakinler!$E$11</x:f>
        <x:v>209.5074455899198</x:v>
      </x:c>
      <x:c r="P40" s="22" t="n">
        <x:f>SUM(H40:O40)</x:f>
        <x:v>1549.9999999999998</x:v>
      </x:c>
    </x:row>
    <x:row r="41">
      <x:c r="A41" s="20" t="n">
        <x:v>46182</x:v>
      </x:c>
      <x:c r="B41" s="20" t="n">
        <x:v>46174</x:v>
      </x:c>
      <x:c r="C41" t="str">
        <x:v>Ortak Alan Su</x:v>
      </x:c>
      <x:c r="D41" t="str">
        <x:v>Haziran ortak alan su</x:v>
      </x:c>
      <x:c r="E41" t="str">
        <x:v>Banka</x:v>
      </x:c>
      <x:c r="F41" s="22" t="n">
        <x:v>820</x:v>
      </x:c>
      <x:c r="G41" s="22" t="str">
        <x:v>B003-G0038</x:v>
      </x:c>
      <x:c r="H41" s="22" t="n">
        <x:f>$F41*Sakinler!$E$4</x:f>
        <x:v>84.5360824742268</x:v>
      </x:c>
      <x:c r="I41" s="22" t="n">
        <x:f>$F41*Sakinler!$E$5</x:f>
        <x:v>84.5360824742268</x:v>
      </x:c>
      <x:c r="J41" s="22" t="n">
        <x:f>$F41*Sakinler!$E$6</x:f>
        <x:v>98.62542955326461</x:v>
      </x:c>
      <x:c r="K41" s="22" t="n">
        <x:f>$F41*Sakinler!$E$7</x:f>
        <x:v>90.17182130584192</x:v>
      </x:c>
      <x:c r="L41" s="22" t="n">
        <x:f>$F41*Sakinler!$E$8</x:f>
        <x:v>84.5360824742268</x:v>
      </x:c>
      <x:c r="M41" s="22" t="n">
        <x:f>$F41*Sakinler!$E$9</x:f>
        <x:v>148.40778923253148</x:v>
      </x:c>
      <x:c r="N41" s="22" t="n">
        <x:f>$F41*Sakinler!$E$10</x:f>
        <x:v>118.35051546391752</x:v>
      </x:c>
      <x:c r="O41" s="22" t="n">
        <x:f>$F41*Sakinler!$E$11</x:f>
        <x:v>110.83619702176402</x:v>
      </x:c>
      <x:c r="P41" s="22" t="n">
        <x:f>SUM(H41:O41)</x:f>
        <x:v>820</x:v>
      </x:c>
    </x:row>
    <x:row r="42">
      <x:c r="A42" s="20" t="n">
        <x:v>46186</x:v>
      </x:c>
      <x:c r="B42" s="20" t="n">
        <x:v>46174</x:v>
      </x:c>
      <x:c r="C42" t="str">
        <x:v>Asansör Bakımı</x:v>
      </x:c>
      <x:c r="D42" t="str">
        <x:v>Aylık asansör bakımı</x:v>
      </x:c>
      <x:c r="E42" t="str">
        <x:v>Banka</x:v>
      </x:c>
      <x:c r="F42" s="22" t="n">
        <x:v>2200</x:v>
      </x:c>
      <x:c r="G42" s="22" t="str">
        <x:v>B003-G0039</x:v>
      </x:c>
      <x:c r="H42" s="22" t="n">
        <x:f>$F42*Sakinler!$E$4</x:f>
        <x:v>226.8041237113402</x:v>
      </x:c>
      <x:c r="I42" s="22" t="n">
        <x:f>$F42*Sakinler!$E$5</x:f>
        <x:v>226.8041237113402</x:v>
      </x:c>
      <x:c r="J42" s="22" t="n">
        <x:f>$F42*Sakinler!$E$6</x:f>
        <x:v>264.6048109965636</x:v>
      </x:c>
      <x:c r="K42" s="22" t="n">
        <x:f>$F42*Sakinler!$E$7</x:f>
        <x:v>241.92439862542955</x:v>
      </x:c>
      <x:c r="L42" s="22" t="n">
        <x:f>$F42*Sakinler!$E$8</x:f>
        <x:v>226.8041237113402</x:v>
      </x:c>
      <x:c r="M42" s="22" t="n">
        <x:f>$F42*Sakinler!$E$9</x:f>
        <x:v>398.1672394043528</x:v>
      </x:c>
      <x:c r="N42" s="22" t="n">
        <x:f>$F42*Sakinler!$E$10</x:f>
        <x:v>317.52577319587624</x:v>
      </x:c>
      <x:c r="O42" s="22" t="n">
        <x:f>$F42*Sakinler!$E$11</x:f>
        <x:v>297.3654066437571</x:v>
      </x:c>
      <x:c r="P42" s="22" t="n">
        <x:f>SUM(H42:O42)</x:f>
        <x:v>2200</x:v>
      </x:c>
    </x:row>
    <x:row r="43">
      <x:c r="A43" s="20" t="n">
        <x:v>46190</x:v>
      </x:c>
      <x:c r="B43" s="20" t="n">
        <x:v>46174</x:v>
      </x:c>
      <x:c r="C43" t="str">
        <x:v>Çatı Bakımı</x:v>
      </x:c>
      <x:c r="D43" t="str">
        <x:v>Çatı bakım ve lokal yalıtım</x:v>
      </x:c>
      <x:c r="E43" t="str">
        <x:v>Nakit</x:v>
      </x:c>
      <x:c r="F43" s="22" t="n">
        <x:v>14000</x:v>
      </x:c>
      <x:c r="G43" s="22" t="str">
        <x:v>B003-G0040</x:v>
      </x:c>
      <x:c r="H43" s="22" t="n">
        <x:f>$F43*Sakinler!$E$4</x:f>
        <x:v>1443.298969072165</x:v>
      </x:c>
      <x:c r="I43" s="22" t="n">
        <x:f>$F43*Sakinler!$E$5</x:f>
        <x:v>1443.298969072165</x:v>
      </x:c>
      <x:c r="J43" s="22" t="n">
        <x:f>$F43*Sakinler!$E$6</x:f>
        <x:v>1683.8487972508592</x:v>
      </x:c>
      <x:c r="K43" s="22" t="n">
        <x:f>$F43*Sakinler!$E$7</x:f>
        <x:v>1539.5189003436426</x:v>
      </x:c>
      <x:c r="L43" s="22" t="n">
        <x:f>$F43*Sakinler!$E$8</x:f>
        <x:v>1443.298969072165</x:v>
      </x:c>
      <x:c r="M43" s="22" t="n">
        <x:f>$F43*Sakinler!$E$9</x:f>
        <x:v>2533.791523482245</x:v>
      </x:c>
      <x:c r="N43" s="22" t="n">
        <x:f>$F43*Sakinler!$E$10</x:f>
        <x:v>2020.6185567010307</x:v>
      </x:c>
      <x:c r="O43" s="22" t="n">
        <x:f>$F43*Sakinler!$E$11</x:f>
        <x:v>1892.3253150057274</x:v>
      </x:c>
      <x:c r="P43" s="22" t="n">
        <x:f>SUM(H43:O43)</x:f>
        <x:v>14000.000000000002</x:v>
      </x:c>
    </x:row>
    <x:row r="44">
      <x:c r="A44" s="20" t="n">
        <x:v>46194</x:v>
      </x:c>
      <x:c r="B44" s="20" t="n">
        <x:v>46174</x:v>
      </x:c>
      <x:c r="C44" t="str">
        <x:v>Temizlik</x:v>
      </x:c>
      <x:c r="D44" t="str">
        <x:v>Ortak alan temizliği</x:v>
      </x:c>
      <x:c r="E44" t="str">
        <x:v>Nakit</x:v>
      </x:c>
      <x:c r="F44" s="22" t="n">
        <x:v>2560</x:v>
      </x:c>
      <x:c r="G44" s="22" t="str">
        <x:v>B003-G0041</x:v>
      </x:c>
      <x:c r="H44" s="22" t="n">
        <x:f>$F44*Sakinler!$E$4</x:f>
        <x:v>263.91752577319585</x:v>
      </x:c>
      <x:c r="I44" s="22" t="n">
        <x:f>$F44*Sakinler!$E$5</x:f>
        <x:v>263.91752577319585</x:v>
      </x:c>
      <x:c r="J44" s="22" t="n">
        <x:f>$F44*Sakinler!$E$6</x:f>
        <x:v>307.9037800687285</x:v>
      </x:c>
      <x:c r="K44" s="22" t="n">
        <x:f>$F44*Sakinler!$E$7</x:f>
        <x:v>281.51202749140896</x:v>
      </x:c>
      <x:c r="L44" s="22" t="n">
        <x:f>$F44*Sakinler!$E$8</x:f>
        <x:v>263.91752577319585</x:v>
      </x:c>
      <x:c r="M44" s="22" t="n">
        <x:f>$F44*Sakinler!$E$9</x:f>
        <x:v>463.32187857961054</x:v>
      </x:c>
      <x:c r="N44" s="22" t="n">
        <x:f>$F44*Sakinler!$E$10</x:f>
        <x:v>369.48453608247416</x:v>
      </x:c>
      <x:c r="O44" s="22" t="n">
        <x:f>$F44*Sakinler!$E$11</x:f>
        <x:v>346.0252004581901</x:v>
      </x:c>
      <x:c r="P44" s="22" t="n">
        <x:f>SUM(H44:O44)</x:f>
        <x:v>2560</x:v>
      </x:c>
    </x:row>
    <x:row r="45">
      <x:c r="A45" s="20" t="n">
        <x:v>46198</x:v>
      </x:c>
      <x:c r="B45" s="20" t="n">
        <x:v>46174</x:v>
      </x:c>
      <x:c r="C45" t="str">
        <x:v>Yönetim Hizmeti</x:v>
      </x:c>
      <x:c r="D45" t="str">
        <x:v>Yönetim hizmet bedeli</x:v>
      </x:c>
      <x:c r="E45" t="str">
        <x:v>Banka</x:v>
      </x:c>
      <x:c r="F45" s="22" t="n">
        <x:v>2500</x:v>
      </x:c>
      <x:c r="G45" s="22" t="str">
        <x:v>B003-G0042</x:v>
      </x:c>
      <x:c r="H45" s="22" t="n">
        <x:f>$F45*Sakinler!$E$4</x:f>
        <x:v>257.73195876288656</x:v>
      </x:c>
      <x:c r="I45" s="22" t="n">
        <x:f>$F45*Sakinler!$E$5</x:f>
        <x:v>257.73195876288656</x:v>
      </x:c>
      <x:c r="J45" s="22" t="n">
        <x:f>$F45*Sakinler!$E$6</x:f>
        <x:v>300.6872852233677</x:v>
      </x:c>
      <x:c r="K45" s="22" t="n">
        <x:f>$F45*Sakinler!$E$7</x:f>
        <x:v>274.914089347079</x:v>
      </x:c>
      <x:c r="L45" s="22" t="n">
        <x:f>$F45*Sakinler!$E$8</x:f>
        <x:v>257.73195876288656</x:v>
      </x:c>
      <x:c r="M45" s="22" t="n">
        <x:f>$F45*Sakinler!$E$9</x:f>
        <x:v>452.46277205040093</x:v>
      </x:c>
      <x:c r="N45" s="22" t="n">
        <x:f>$F45*Sakinler!$E$10</x:f>
        <x:v>360.8247422680412</x:v>
      </x:c>
      <x:c r="O45" s="22" t="n">
        <x:f>$F45*Sakinler!$E$11</x:f>
        <x:v>337.9152348224513</x:v>
      </x:c>
      <x:c r="P45" s="22" t="n">
        <x:f>SUM(H45:O45)</x:f>
        <x:v>2499.9999999999995</x:v>
      </x:c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0" customHeight="1">
      <x:c r="A1" s="3" t="str">
        <x:v>Ihlamur Apartmanı — Değişken Aidat Ekstresi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3">
      <x:c r="A3" s="10" t="str">
        <x:v>Aidat Ayı</x:v>
      </x:c>
      <x:c r="B3" s="10" t="str">
        <x:v>Baz Gider Ayı</x:v>
      </x:c>
      <x:c r="C3" s="10" t="str">
        <x:v>Resident Kodu</x:v>
      </x:c>
      <x:c r="D3" s="10" t="str">
        <x:v>Daire</x:v>
      </x:c>
      <x:c r="E3" s="10" t="str">
        <x:v>Ad Soyad</x:v>
      </x:c>
      <x:c r="F3" s="10" t="str">
        <x:v>Ortak Alan Elektrik</x:v>
      </x:c>
      <x:c r="G3" s="10" t="str">
        <x:v>Ortak Alan Su</x:v>
      </x:c>
      <x:c r="H3" s="10" t="str">
        <x:v>Asansör Bakımı</x:v>
      </x:c>
      <x:c r="I3" s="10" t="str">
        <x:v>Jeneratör Bakımı</x:v>
      </x:c>
      <x:c r="J3" s="10" t="str">
        <x:v>Hidrofor Bakımı</x:v>
      </x:c>
      <x:c r="K3" s="10" t="str">
        <x:v>Yangın Sistemleri</x:v>
      </x:c>
      <x:c r="L3" s="10" t="str">
        <x:v>Temizlik</x:v>
      </x:c>
      <x:c r="M3" s="10" t="str">
        <x:v>Bahçe Bakımı</x:v>
      </x:c>
      <x:c r="N3" s="10" t="str">
        <x:v>Onarım</x:v>
      </x:c>
      <x:c r="O3" s="10" t="str">
        <x:v>Çatı Bakımı</x:v>
      </x:c>
      <x:c r="P3" s="10" t="str">
        <x:v>Yönetim Hizmeti</x:v>
      </x:c>
      <x:c r="Q3" s="10" t="str">
        <x:v>Toplam Aidat</x:v>
      </x:c>
      <x:c r="R3" s="10" t="str">
        <x:v>Ödenen</x:v>
      </x:c>
      <x:c r="S3" s="10" t="str">
        <x:v>Ödeme Tarihi</x:v>
      </x:c>
      <x:c r="T3" s="10" t="str">
        <x:v>Kalan Borç</x:v>
      </x:c>
      <x:c r="U3" s="10" t="str">
        <x:v>Durum</x:v>
      </x:c>
    </x:row>
    <x:row r="4">
      <x:c r="A4" s="24" t="n">
        <x:v>46023</x:v>
      </x:c>
      <x:c r="B4" s="24" t="n">
        <x:v>45992</x:v>
      </x:c>
      <x:c r="C4" t="str">
        <x:v>B003-R001</x:v>
      </x:c>
      <x:c r="D4" t="n">
        <x:v>1</x:v>
      </x:c>
      <x:c r="E4" t="str">
        <x:v>Kerem Yılmaz</x:v>
      </x:c>
      <x:c r="F4" s="22" t="n">
        <x:v>127.83505154639174</x:v>
      </x:c>
      <x:c r="G4" s="22" t="n">
        <x:v>68.04123711340206</x:v>
      </x:c>
      <x:c r="H4" s="22" t="n">
        <x:v>216.49484536082474</x:v>
      </x:c>
      <x:c r="I4" s="22" t="n">
        <x:v>185.56701030927834</x:v>
      </x:c>
      <x:c r="J4" s="22" t="n">
        <x:v>0</x:v>
      </x:c>
      <x:c r="K4" s="22" t="n">
        <x:v>0</x:v>
      </x:c>
      <x:c r="L4" s="22" t="n">
        <x:v>230.92783505154637</x:v>
      </x:c>
      <x:c r="M4" s="22" t="n">
        <x:v>0</x:v>
      </x:c>
      <x:c r="N4" s="22" t="n">
        <x:v>0</x:v>
      </x:c>
      <x:c r="O4" s="22" t="n">
        <x:v>0</x:v>
      </x:c>
      <x:c r="P4" s="22" t="n">
        <x:v>257.73195876288656</x:v>
      </x:c>
      <x:c r="Q4" s="22" t="n">
        <x:v>1086.5979381443299</x:v>
      </x:c>
      <x:c r="R4" s="22" t="n">
        <x:v>1086.6</x:v>
      </x:c>
      <x:c r="S4" s="20" t="n">
        <x:v>46027</x:v>
      </x:c>
      <x:c r="T4" s="22" t="n">
        <x:v>0</x:v>
      </x:c>
      <x:c r="U4" t="str">
        <x:v>Ödendi</x:v>
      </x:c>
    </x:row>
    <x:row r="5">
      <x:c r="A5" s="24" t="n">
        <x:v>46054</x:v>
      </x:c>
      <x:c r="B5" s="24" t="n">
        <x:v>46023</x:v>
      </x:c>
      <x:c r="C5" t="str">
        <x:v>B003-R001</x:v>
      </x:c>
      <x:c r="D5" t="n">
        <x:v>1</x:v>
      </x:c>
      <x:c r="E5" t="str">
        <x:v>Kerem Yılmaz</x:v>
      </x:c>
      <x:c r="F5" s="22" t="n">
        <x:v>136.08247422680412</x:v>
      </x:c>
      <x:c r="G5" s="22" t="n">
        <x:v>70.10309278350515</x:v>
      </x:c>
      <x:c r="H5" s="22" t="n">
        <x:v>216.49484536082474</x:v>
      </x:c>
      <x:c r="I5" s="22" t="n">
        <x:v>0</x:v>
      </x:c>
      <x:c r="J5" s="22" t="n">
        <x:v>329.8969072164948</x:v>
      </x:c>
      <x:c r="K5" s="22" t="n">
        <x:v>0</x:v>
      </x:c>
      <x:c r="L5" s="22" t="n">
        <x:v>230.92783505154637</x:v>
      </x:c>
      <x:c r="M5" s="22" t="n">
        <x:v>0</x:v>
      </x:c>
      <x:c r="N5" s="22" t="n">
        <x:v>0</x:v>
      </x:c>
      <x:c r="O5" s="22" t="n">
        <x:v>0</x:v>
      </x:c>
      <x:c r="P5" s="22" t="n">
        <x:v>257.73195876288656</x:v>
      </x:c>
      <x:c r="Q5" s="22" t="n">
        <x:v>1241.2371134020618</x:v>
      </x:c>
      <x:c r="R5" s="22" t="n">
        <x:v>1241.24</x:v>
      </x:c>
      <x:c r="S5" s="20" t="n">
        <x:v>46065</x:v>
      </x:c>
      <x:c r="T5" s="22" t="n">
        <x:v>0</x:v>
      </x:c>
      <x:c r="U5" t="str">
        <x:v>Ödendi</x:v>
      </x:c>
    </x:row>
    <x:row r="6">
      <x:c r="A6" s="24" t="n">
        <x:v>46082</x:v>
      </x:c>
      <x:c r="B6" s="24" t="n">
        <x:v>46054</x:v>
      </x:c>
      <x:c r="C6" t="str">
        <x:v>B003-R001</x:v>
      </x:c>
      <x:c r="D6" t="n">
        <x:v>1</x:v>
      </x:c>
      <x:c r="E6" t="str">
        <x:v>Kerem Yılmaz</x:v>
      </x:c>
      <x:c r="F6" s="22" t="n">
        <x:v>142.2680412371134</x:v>
      </x:c>
      <x:c r="G6" s="22" t="n">
        <x:v>76.28865979381443</x:v>
      </x:c>
      <x:c r="H6" s="22" t="n">
        <x:v>216.49484536082474</x:v>
      </x:c>
      <x:c r="I6" s="22" t="n">
        <x:v>247.4226804123711</x:v>
      </x:c>
      <x:c r="J6" s="22" t="n">
        <x:v>0</x:v>
      </x:c>
      <x:c r="K6" s="22" t="n">
        <x:v>432.9896907216495</x:v>
      </x:c>
      <x:c r="L6" s="22" t="n">
        <x:v>0</x:v>
      </x:c>
      <x:c r="M6" s="22" t="n">
        <x:v>0</x:v>
      </x:c>
      <x:c r="N6" s="22" t="n">
        <x:v>0</x:v>
      </x:c>
      <x:c r="O6" s="22" t="n">
        <x:v>0</x:v>
      </x:c>
      <x:c r="P6" s="22" t="n">
        <x:v>257.73195876288656</x:v>
      </x:c>
      <x:c r="Q6" s="22" t="n">
        <x:v>1373.1958762886597</x:v>
      </x:c>
      <x:c r="R6" s="22" t="n">
        <x:v>0</x:v>
      </x:c>
      <x:c r="S6" s="20"/>
      <x:c r="T6" s="22" t="n">
        <x:v>1373.2</x:v>
      </x:c>
      <x:c r="U6" t="str">
        <x:v>Ödenmedi</x:v>
      </x:c>
    </x:row>
    <x:row r="7">
      <x:c r="A7" s="24" t="n">
        <x:v>46113</x:v>
      </x:c>
      <x:c r="B7" s="24" t="n">
        <x:v>46082</x:v>
      </x:c>
      <x:c r="C7" t="str">
        <x:v>B003-R001</x:v>
      </x:c>
      <x:c r="D7" t="n">
        <x:v>1</x:v>
      </x:c>
      <x:c r="E7" t="str">
        <x:v>Kerem Yılmaz</x:v>
      </x:c>
      <x:c r="F7" s="22" t="n">
        <x:v>129.89690721649484</x:v>
      </x:c>
      <x:c r="G7" s="22" t="n">
        <x:v>73.19587628865979</x:v>
      </x:c>
      <x:c r="H7" s="22" t="n">
        <x:v>216.49484536082474</x:v>
      </x:c>
      <x:c r="I7" s="22" t="n">
        <x:v>0</x:v>
      </x:c>
      <x:c r="J7" s="22" t="n">
        <x:v>0</x:v>
      </x:c>
      <x:c r="K7" s="22" t="n">
        <x:v>0</x:v>
      </x:c>
      <x:c r="L7" s="22" t="n">
        <x:v>247.4226804123711</x:v>
      </x:c>
      <x:c r="M7" s="22" t="n">
        <x:v>0</x:v>
      </x:c>
      <x:c r="N7" s="22" t="n">
        <x:v>391.7525773195876</x:v>
      </x:c>
      <x:c r="O7" s="22" t="n">
        <x:v>0</x:v>
      </x:c>
      <x:c r="P7" s="22" t="n">
        <x:v>257.73195876288656</x:v>
      </x:c>
      <x:c r="Q7" s="22" t="n">
        <x:v>1316.4948453608247</x:v>
      </x:c>
      <x:c r="R7" s="22" t="n">
        <x:v>1316.49</x:v>
      </x:c>
      <x:c r="S7" s="20" t="n">
        <x:v>46116</x:v>
      </x:c>
      <x:c r="T7" s="22" t="n">
        <x:v>0</x:v>
      </x:c>
      <x:c r="U7" t="str">
        <x:v>Ödendi</x:v>
      </x:c>
    </x:row>
    <x:row r="8">
      <x:c r="A8" s="24" t="n">
        <x:v>46143</x:v>
      </x:c>
      <x:c r="B8" s="24" t="n">
        <x:v>46113</x:v>
      </x:c>
      <x:c r="C8" t="str">
        <x:v>B003-R001</x:v>
      </x:c>
      <x:c r="D8" t="n">
        <x:v>1</x:v>
      </x:c>
      <x:c r="E8" t="str">
        <x:v>Kerem Yılmaz</x:v>
      </x:c>
      <x:c r="F8" s="22" t="n">
        <x:v>139.17525773195877</x:v>
      </x:c>
      <x:c r="G8" s="22" t="n">
        <x:v>75.25773195876289</x:v>
      </x:c>
      <x:c r="H8" s="22" t="n">
        <x:v>226.8041237113402</x:v>
      </x:c>
      <x:c r="I8" s="22" t="n">
        <x:v>0</x:v>
      </x:c>
      <x:c r="J8" s="22" t="n">
        <x:v>639.1752577319587</x:v>
      </x:c>
      <x:c r="K8" s="22" t="n">
        <x:v>0</x:v>
      </x:c>
      <x:c r="L8" s="22" t="n">
        <x:v>0</x:v>
      </x:c>
      <x:c r="M8" s="22" t="n">
        <x:v>268.0412371134021</x:v>
      </x:c>
      <x:c r="N8" s="22" t="n">
        <x:v>0</x:v>
      </x:c>
      <x:c r="O8" s="22" t="n">
        <x:v>0</x:v>
      </x:c>
      <x:c r="P8" s="22" t="n">
        <x:v>257.73195876288656</x:v>
      </x:c>
      <x:c r="Q8" s="22" t="n">
        <x:v>1606.1855670103091</x:v>
      </x:c>
      <x:c r="R8" s="22" t="n">
        <x:v>1606.19</x:v>
      </x:c>
      <x:c r="S8" s="20" t="n">
        <x:v>46147</x:v>
      </x:c>
      <x:c r="T8" s="22" t="n">
        <x:v>0</x:v>
      </x:c>
      <x:c r="U8" t="str">
        <x:v>Ödendi</x:v>
      </x:c>
    </x:row>
    <x:row r="9">
      <x:c r="A9" s="24" t="n">
        <x:v>46174</x:v>
      </x:c>
      <x:c r="B9" s="24" t="n">
        <x:v>46143</x:v>
      </x:c>
      <x:c r="C9" t="str">
        <x:v>B003-R001</x:v>
      </x:c>
      <x:c r="D9" t="n">
        <x:v>1</x:v>
      </x:c>
      <x:c r="E9" t="str">
        <x:v>Kerem Yılmaz</x:v>
      </x:c>
      <x:c r="F9" s="22" t="n">
        <x:v>149.48453608247422</x:v>
      </x:c>
      <x:c r="G9" s="22" t="n">
        <x:v>80.41237113402062</x:v>
      </x:c>
      <x:c r="H9" s="22" t="n">
        <x:v>226.8041237113402</x:v>
      </x:c>
      <x:c r="I9" s="22" t="n">
        <x:v>371.1340206185567</x:v>
      </x:c>
      <x:c r="J9" s="22" t="n">
        <x:v>0</x:v>
      </x:c>
      <x:c r="K9" s="22" t="n">
        <x:v>0</x:v>
      </x:c>
      <x:c r="L9" s="22" t="n">
        <x:v>247.4226804123711</x:v>
      </x:c>
      <x:c r="M9" s="22" t="n">
        <x:v>0</x:v>
      </x:c>
      <x:c r="N9" s="22" t="n">
        <x:v>0</x:v>
      </x:c>
      <x:c r="O9" s="22" t="n">
        <x:v>0</x:v>
      </x:c>
      <x:c r="P9" s="22" t="n">
        <x:v>257.73195876288656</x:v>
      </x:c>
      <x:c r="Q9" s="22" t="n">
        <x:v>1332.9896907216494</x:v>
      </x:c>
      <x:c r="R9" s="22" t="n">
        <x:v>1332.99</x:v>
      </x:c>
      <x:c r="S9" s="20" t="n">
        <x:v>46184</x:v>
      </x:c>
      <x:c r="T9" s="22" t="n">
        <x:v>0</x:v>
      </x:c>
      <x:c r="U9" t="str">
        <x:v>Ödendi</x:v>
      </x:c>
    </x:row>
    <x:row r="10">
      <x:c r="A10" s="24" t="n">
        <x:v>46204</x:v>
      </x:c>
      <x:c r="B10" s="24" t="n">
        <x:v>46174</x:v>
      </x:c>
      <x:c r="C10" t="str">
        <x:v>B003-R001</x:v>
      </x:c>
      <x:c r="D10" t="n">
        <x:v>1</x:v>
      </x:c>
      <x:c r="E10" t="str">
        <x:v>Kerem Yılmaz</x:v>
      </x:c>
      <x:c r="F10" s="22" t="n">
        <x:v>159.79381443298968</x:v>
      </x:c>
      <x:c r="G10" s="22" t="n">
        <x:v>84.5360824742268</x:v>
      </x:c>
      <x:c r="H10" s="22" t="n">
        <x:v>226.8041237113402</x:v>
      </x:c>
      <x:c r="I10" s="22" t="n">
        <x:v>0</x:v>
      </x:c>
      <x:c r="J10" s="22" t="n">
        <x:v>0</x:v>
      </x:c>
      <x:c r="K10" s="22" t="n">
        <x:v>0</x:v>
      </x:c>
      <x:c r="L10" s="22" t="n">
        <x:v>263.91752577319585</x:v>
      </x:c>
      <x:c r="M10" s="22" t="n">
        <x:v>0</x:v>
      </x:c>
      <x:c r="N10" s="22" t="n">
        <x:v>0</x:v>
      </x:c>
      <x:c r="O10" s="22" t="n">
        <x:v>1443.298969072165</x:v>
      </x:c>
      <x:c r="P10" s="22" t="n">
        <x:v>257.73195876288656</x:v>
      </x:c>
      <x:c r="Q10" s="22" t="n">
        <x:v>2436.082474226804</x:v>
      </x:c>
      <x:c r="R10" s="22" t="n">
        <x:v>2436.08</x:v>
      </x:c>
      <x:c r="S10" s="20" t="n">
        <x:v>46212</x:v>
      </x:c>
      <x:c r="T10" s="22" t="n">
        <x:v>0</x:v>
      </x:c>
      <x:c r="U10" t="str">
        <x:v>Ödendi</x:v>
      </x:c>
    </x:row>
    <x:row r="11">
      <x:c r="A11" s="24" t="n">
        <x:v>46023</x:v>
      </x:c>
      <x:c r="B11" s="24" t="n">
        <x:v>45992</x:v>
      </x:c>
      <x:c r="C11" t="str">
        <x:v>B003-R002</x:v>
      </x:c>
      <x:c r="D11" t="n">
        <x:v>2</x:v>
      </x:c>
      <x:c r="E11" t="str">
        <x:v>Deniz Yıldız</x:v>
      </x:c>
      <x:c r="F11" s="22" t="n">
        <x:v>127.83505154639174</x:v>
      </x:c>
      <x:c r="G11" s="22" t="n">
        <x:v>68.04123711340206</x:v>
      </x:c>
      <x:c r="H11" s="22" t="n">
        <x:v>216.49484536082474</x:v>
      </x:c>
      <x:c r="I11" s="22" t="n">
        <x:v>185.56701030927834</x:v>
      </x:c>
      <x:c r="J11" s="22" t="n">
        <x:v>0</x:v>
      </x:c>
      <x:c r="K11" s="22" t="n">
        <x:v>0</x:v>
      </x:c>
      <x:c r="L11" s="22" t="n">
        <x:v>230.92783505154637</x:v>
      </x:c>
      <x:c r="M11" s="22" t="n">
        <x:v>0</x:v>
      </x:c>
      <x:c r="N11" s="22" t="n">
        <x:v>0</x:v>
      </x:c>
      <x:c r="O11" s="22" t="n">
        <x:v>0</x:v>
      </x:c>
      <x:c r="P11" s="22" t="n">
        <x:v>257.73195876288656</x:v>
      </x:c>
      <x:c r="Q11" s="22" t="n">
        <x:v>1086.5979381443299</x:v>
      </x:c>
      <x:c r="R11" s="22" t="n">
        <x:v>1086.6</x:v>
      </x:c>
      <x:c r="S11" s="20" t="n">
        <x:v>46027</x:v>
      </x:c>
      <x:c r="T11" s="22" t="n">
        <x:v>0</x:v>
      </x:c>
      <x:c r="U11" t="str">
        <x:v>Ödendi</x:v>
      </x:c>
    </x:row>
    <x:row r="12">
      <x:c r="A12" s="24" t="n">
        <x:v>46054</x:v>
      </x:c>
      <x:c r="B12" s="24" t="n">
        <x:v>46023</x:v>
      </x:c>
      <x:c r="C12" t="str">
        <x:v>B003-R002</x:v>
      </x:c>
      <x:c r="D12" t="n">
        <x:v>2</x:v>
      </x:c>
      <x:c r="E12" t="str">
        <x:v>Deniz Yıldız</x:v>
      </x:c>
      <x:c r="F12" s="22" t="n">
        <x:v>136.08247422680412</x:v>
      </x:c>
      <x:c r="G12" s="22" t="n">
        <x:v>70.10309278350515</x:v>
      </x:c>
      <x:c r="H12" s="22" t="n">
        <x:v>216.49484536082474</x:v>
      </x:c>
      <x:c r="I12" s="22" t="n">
        <x:v>0</x:v>
      </x:c>
      <x:c r="J12" s="22" t="n">
        <x:v>329.8969072164948</x:v>
      </x:c>
      <x:c r="K12" s="22" t="n">
        <x:v>0</x:v>
      </x:c>
      <x:c r="L12" s="22" t="n">
        <x:v>230.92783505154637</x:v>
      </x:c>
      <x:c r="M12" s="22" t="n">
        <x:v>0</x:v>
      </x:c>
      <x:c r="N12" s="22" t="n">
        <x:v>0</x:v>
      </x:c>
      <x:c r="O12" s="22" t="n">
        <x:v>0</x:v>
      </x:c>
      <x:c r="P12" s="22" t="n">
        <x:v>257.73195876288656</x:v>
      </x:c>
      <x:c r="Q12" s="22" t="n">
        <x:v>1241.2371134020618</x:v>
      </x:c>
      <x:c r="R12" s="22" t="n">
        <x:v>1241.24</x:v>
      </x:c>
      <x:c r="S12" s="20" t="n">
        <x:v>46059</x:v>
      </x:c>
      <x:c r="T12" s="22" t="n">
        <x:v>0</x:v>
      </x:c>
      <x:c r="U12" t="str">
        <x:v>Ödendi</x:v>
      </x:c>
    </x:row>
    <x:row r="13">
      <x:c r="A13" s="24" t="n">
        <x:v>46082</x:v>
      </x:c>
      <x:c r="B13" s="24" t="n">
        <x:v>46054</x:v>
      </x:c>
      <x:c r="C13" t="str">
        <x:v>B003-R002</x:v>
      </x:c>
      <x:c r="D13" t="n">
        <x:v>2</x:v>
      </x:c>
      <x:c r="E13" t="str">
        <x:v>Deniz Yıldız</x:v>
      </x:c>
      <x:c r="F13" s="22" t="n">
        <x:v>142.2680412371134</x:v>
      </x:c>
      <x:c r="G13" s="22" t="n">
        <x:v>76.28865979381443</x:v>
      </x:c>
      <x:c r="H13" s="22" t="n">
        <x:v>216.49484536082474</x:v>
      </x:c>
      <x:c r="I13" s="22" t="n">
        <x:v>247.4226804123711</x:v>
      </x:c>
      <x:c r="J13" s="22" t="n">
        <x:v>0</x:v>
      </x:c>
      <x:c r="K13" s="22" t="n">
        <x:v>432.9896907216495</x:v>
      </x:c>
      <x:c r="L13" s="22" t="n">
        <x:v>0</x:v>
      </x:c>
      <x:c r="M13" s="22" t="n">
        <x:v>0</x:v>
      </x:c>
      <x:c r="N13" s="22" t="n">
        <x:v>0</x:v>
      </x:c>
      <x:c r="O13" s="22" t="n">
        <x:v>0</x:v>
      </x:c>
      <x:c r="P13" s="22" t="n">
        <x:v>257.73195876288656</x:v>
      </x:c>
      <x:c r="Q13" s="22" t="n">
        <x:v>1373.1958762886597</x:v>
      </x:c>
      <x:c r="R13" s="22" t="n">
        <x:v>0</x:v>
      </x:c>
      <x:c r="S13" s="20"/>
      <x:c r="T13" s="22" t="n">
        <x:v>1373.2</x:v>
      </x:c>
      <x:c r="U13" t="str">
        <x:v>Ödenmedi</x:v>
      </x:c>
    </x:row>
    <x:row r="14">
      <x:c r="A14" s="24" t="n">
        <x:v>46113</x:v>
      </x:c>
      <x:c r="B14" s="24" t="n">
        <x:v>46082</x:v>
      </x:c>
      <x:c r="C14" t="str">
        <x:v>B003-R002</x:v>
      </x:c>
      <x:c r="D14" t="n">
        <x:v>2</x:v>
      </x:c>
      <x:c r="E14" t="str">
        <x:v>Deniz Yıldız</x:v>
      </x:c>
      <x:c r="F14" s="22" t="n">
        <x:v>129.89690721649484</x:v>
      </x:c>
      <x:c r="G14" s="22" t="n">
        <x:v>73.19587628865979</x:v>
      </x:c>
      <x:c r="H14" s="22" t="n">
        <x:v>216.49484536082474</x:v>
      </x:c>
      <x:c r="I14" s="22" t="n">
        <x:v>0</x:v>
      </x:c>
      <x:c r="J14" s="22" t="n">
        <x:v>0</x:v>
      </x:c>
      <x:c r="K14" s="22" t="n">
        <x:v>0</x:v>
      </x:c>
      <x:c r="L14" s="22" t="n">
        <x:v>247.4226804123711</x:v>
      </x:c>
      <x:c r="M14" s="22" t="n">
        <x:v>0</x:v>
      </x:c>
      <x:c r="N14" s="22" t="n">
        <x:v>391.7525773195876</x:v>
      </x:c>
      <x:c r="O14" s="22" t="n">
        <x:v>0</x:v>
      </x:c>
      <x:c r="P14" s="22" t="n">
        <x:v>257.73195876288656</x:v>
      </x:c>
      <x:c r="Q14" s="22" t="n">
        <x:v>1316.4948453608247</x:v>
      </x:c>
      <x:c r="R14" s="22" t="n">
        <x:v>1316.49</x:v>
      </x:c>
      <x:c r="S14" s="20" t="n">
        <x:v>46117</x:v>
      </x:c>
      <x:c r="T14" s="22" t="n">
        <x:v>0</x:v>
      </x:c>
      <x:c r="U14" t="str">
        <x:v>Ödendi</x:v>
      </x:c>
    </x:row>
    <x:row r="15">
      <x:c r="A15" s="24" t="n">
        <x:v>46143</x:v>
      </x:c>
      <x:c r="B15" s="24" t="n">
        <x:v>46113</x:v>
      </x:c>
      <x:c r="C15" t="str">
        <x:v>B003-R002</x:v>
      </x:c>
      <x:c r="D15" t="n">
        <x:v>2</x:v>
      </x:c>
      <x:c r="E15" t="str">
        <x:v>Deniz Yıldız</x:v>
      </x:c>
      <x:c r="F15" s="22" t="n">
        <x:v>139.17525773195877</x:v>
      </x:c>
      <x:c r="G15" s="22" t="n">
        <x:v>75.25773195876289</x:v>
      </x:c>
      <x:c r="H15" s="22" t="n">
        <x:v>226.8041237113402</x:v>
      </x:c>
      <x:c r="I15" s="22" t="n">
        <x:v>0</x:v>
      </x:c>
      <x:c r="J15" s="22" t="n">
        <x:v>639.1752577319587</x:v>
      </x:c>
      <x:c r="K15" s="22" t="n">
        <x:v>0</x:v>
      </x:c>
      <x:c r="L15" s="22" t="n">
        <x:v>0</x:v>
      </x:c>
      <x:c r="M15" s="22" t="n">
        <x:v>268.0412371134021</x:v>
      </x:c>
      <x:c r="N15" s="22" t="n">
        <x:v>0</x:v>
      </x:c>
      <x:c r="O15" s="22" t="n">
        <x:v>0</x:v>
      </x:c>
      <x:c r="P15" s="22" t="n">
        <x:v>257.73195876288656</x:v>
      </x:c>
      <x:c r="Q15" s="22" t="n">
        <x:v>1606.1855670103091</x:v>
      </x:c>
      <x:c r="R15" s="22" t="n">
        <x:v>1606.19</x:v>
      </x:c>
      <x:c r="S15" s="20" t="n">
        <x:v>46151</x:v>
      </x:c>
      <x:c r="T15" s="22" t="n">
        <x:v>0</x:v>
      </x:c>
      <x:c r="U15" t="str">
        <x:v>Ödendi</x:v>
      </x:c>
    </x:row>
    <x:row r="16">
      <x:c r="A16" s="24" t="n">
        <x:v>46174</x:v>
      </x:c>
      <x:c r="B16" s="24" t="n">
        <x:v>46143</x:v>
      </x:c>
      <x:c r="C16" t="str">
        <x:v>B003-R002</x:v>
      </x:c>
      <x:c r="D16" t="n">
        <x:v>2</x:v>
      </x:c>
      <x:c r="E16" t="str">
        <x:v>Deniz Yıldız</x:v>
      </x:c>
      <x:c r="F16" s="22" t="n">
        <x:v>149.48453608247422</x:v>
      </x:c>
      <x:c r="G16" s="22" t="n">
        <x:v>80.41237113402062</x:v>
      </x:c>
      <x:c r="H16" s="22" t="n">
        <x:v>226.8041237113402</x:v>
      </x:c>
      <x:c r="I16" s="22" t="n">
        <x:v>371.1340206185567</x:v>
      </x:c>
      <x:c r="J16" s="22" t="n">
        <x:v>0</x:v>
      </x:c>
      <x:c r="K16" s="22" t="n">
        <x:v>0</x:v>
      </x:c>
      <x:c r="L16" s="22" t="n">
        <x:v>247.4226804123711</x:v>
      </x:c>
      <x:c r="M16" s="22" t="n">
        <x:v>0</x:v>
      </x:c>
      <x:c r="N16" s="22" t="n">
        <x:v>0</x:v>
      </x:c>
      <x:c r="O16" s="22" t="n">
        <x:v>0</x:v>
      </x:c>
      <x:c r="P16" s="22" t="n">
        <x:v>257.73195876288656</x:v>
      </x:c>
      <x:c r="Q16" s="22" t="n">
        <x:v>1332.9896907216494</x:v>
      </x:c>
      <x:c r="R16" s="22" t="n">
        <x:v>1332.99</x:v>
      </x:c>
      <x:c r="S16" s="20" t="n">
        <x:v>46183</x:v>
      </x:c>
      <x:c r="T16" s="22" t="n">
        <x:v>0</x:v>
      </x:c>
      <x:c r="U16" t="str">
        <x:v>Ödendi</x:v>
      </x:c>
    </x:row>
    <x:row r="17">
      <x:c r="A17" s="24" t="n">
        <x:v>46204</x:v>
      </x:c>
      <x:c r="B17" s="24" t="n">
        <x:v>46174</x:v>
      </x:c>
      <x:c r="C17" t="str">
        <x:v>B003-R002</x:v>
      </x:c>
      <x:c r="D17" t="n">
        <x:v>2</x:v>
      </x:c>
      <x:c r="E17" t="str">
        <x:v>Deniz Yıldız</x:v>
      </x:c>
      <x:c r="F17" s="22" t="n">
        <x:v>159.79381443298968</x:v>
      </x:c>
      <x:c r="G17" s="22" t="n">
        <x:v>84.5360824742268</x:v>
      </x:c>
      <x:c r="H17" s="22" t="n">
        <x:v>226.8041237113402</x:v>
      </x:c>
      <x:c r="I17" s="22" t="n">
        <x:v>0</x:v>
      </x:c>
      <x:c r="J17" s="22" t="n">
        <x:v>0</x:v>
      </x:c>
      <x:c r="K17" s="22" t="n">
        <x:v>0</x:v>
      </x:c>
      <x:c r="L17" s="22" t="n">
        <x:v>263.91752577319585</x:v>
      </x:c>
      <x:c r="M17" s="22" t="n">
        <x:v>0</x:v>
      </x:c>
      <x:c r="N17" s="22" t="n">
        <x:v>0</x:v>
      </x:c>
      <x:c r="O17" s="22" t="n">
        <x:v>1443.298969072165</x:v>
      </x:c>
      <x:c r="P17" s="22" t="n">
        <x:v>257.73195876288656</x:v>
      </x:c>
      <x:c r="Q17" s="22" t="n">
        <x:v>2436.082474226804</x:v>
      </x:c>
      <x:c r="R17" s="22" t="n">
        <x:v>2436.08</x:v>
      </x:c>
      <x:c r="S17" s="20" t="n">
        <x:v>46212</x:v>
      </x:c>
      <x:c r="T17" s="22" t="n">
        <x:v>0</x:v>
      </x:c>
      <x:c r="U17" t="str">
        <x:v>Ödendi</x:v>
      </x:c>
    </x:row>
    <x:row r="18">
      <x:c r="A18" s="24" t="n">
        <x:v>46023</x:v>
      </x:c>
      <x:c r="B18" s="24" t="n">
        <x:v>45992</x:v>
      </x:c>
      <x:c r="C18" t="str">
        <x:v>B003-R003</x:v>
      </x:c>
      <x:c r="D18" t="n">
        <x:v>3</x:v>
      </x:c>
      <x:c r="E18" t="str">
        <x:v>Nihan Şahin</x:v>
      </x:c>
      <x:c r="F18" s="22" t="n">
        <x:v>149.1408934707904</x:v>
      </x:c>
      <x:c r="G18" s="22" t="n">
        <x:v>79.38144329896907</x:v>
      </x:c>
      <x:c r="H18" s="22" t="n">
        <x:v>252.57731958762886</x:v>
      </x:c>
      <x:c r="I18" s="22" t="n">
        <x:v>216.49484536082474</x:v>
      </x:c>
      <x:c r="J18" s="22" t="n">
        <x:v>0</x:v>
      </x:c>
      <x:c r="K18" s="22" t="n">
        <x:v>0</x:v>
      </x:c>
      <x:c r="L18" s="22" t="n">
        <x:v>269.41580756013747</x:v>
      </x:c>
      <x:c r="M18" s="22" t="n">
        <x:v>0</x:v>
      </x:c>
      <x:c r="N18" s="22" t="n">
        <x:v>0</x:v>
      </x:c>
      <x:c r="O18" s="22" t="n">
        <x:v>0</x:v>
      </x:c>
      <x:c r="P18" s="22" t="n">
        <x:v>300.6872852233677</x:v>
      </x:c>
      <x:c r="Q18" s="22" t="n">
        <x:v>1267.6975945017182</x:v>
      </x:c>
      <x:c r="R18" s="22" t="n">
        <x:v>1267.7</x:v>
      </x:c>
      <x:c r="S18" s="20" t="n">
        <x:v>46027</x:v>
      </x:c>
      <x:c r="T18" s="22" t="n">
        <x:v>0</x:v>
      </x:c>
      <x:c r="U18" t="str">
        <x:v>Ödendi</x:v>
      </x:c>
    </x:row>
    <x:row r="19">
      <x:c r="A19" s="24" t="n">
        <x:v>46054</x:v>
      </x:c>
      <x:c r="B19" s="24" t="n">
        <x:v>46023</x:v>
      </x:c>
      <x:c r="C19" t="str">
        <x:v>B003-R003</x:v>
      </x:c>
      <x:c r="D19" t="n">
        <x:v>3</x:v>
      </x:c>
      <x:c r="E19" t="str">
        <x:v>Nihan Şahin</x:v>
      </x:c>
      <x:c r="F19" s="22" t="n">
        <x:v>158.76288659793815</x:v>
      </x:c>
      <x:c r="G19" s="22" t="n">
        <x:v>81.78694158075602</x:v>
      </x:c>
      <x:c r="H19" s="22" t="n">
        <x:v>252.57731958762886</x:v>
      </x:c>
      <x:c r="I19" s="22" t="n">
        <x:v>0</x:v>
      </x:c>
      <x:c r="J19" s="22" t="n">
        <x:v>384.87972508591065</x:v>
      </x:c>
      <x:c r="K19" s="22" t="n">
        <x:v>0</x:v>
      </x:c>
      <x:c r="L19" s="22" t="n">
        <x:v>269.41580756013747</x:v>
      </x:c>
      <x:c r="M19" s="22" t="n">
        <x:v>0</x:v>
      </x:c>
      <x:c r="N19" s="22" t="n">
        <x:v>0</x:v>
      </x:c>
      <x:c r="O19" s="22" t="n">
        <x:v>0</x:v>
      </x:c>
      <x:c r="P19" s="22" t="n">
        <x:v>300.6872852233677</x:v>
      </x:c>
      <x:c r="Q19" s="22" t="n">
        <x:v>1448.109965635739</x:v>
      </x:c>
      <x:c r="R19" s="22" t="n">
        <x:v>1448.11</x:v>
      </x:c>
      <x:c r="S19" s="20" t="n">
        <x:v>46059</x:v>
      </x:c>
      <x:c r="T19" s="22" t="n">
        <x:v>0</x:v>
      </x:c>
      <x:c r="U19" t="str">
        <x:v>Ödendi</x:v>
      </x:c>
    </x:row>
    <x:row r="20">
      <x:c r="A20" s="24" t="n">
        <x:v>46082</x:v>
      </x:c>
      <x:c r="B20" s="24" t="n">
        <x:v>46054</x:v>
      </x:c>
      <x:c r="C20" t="str">
        <x:v>B003-R003</x:v>
      </x:c>
      <x:c r="D20" t="n">
        <x:v>3</x:v>
      </x:c>
      <x:c r="E20" t="str">
        <x:v>Nihan Şahin</x:v>
      </x:c>
      <x:c r="F20" s="22" t="n">
        <x:v>165.97938144329896</x:v>
      </x:c>
      <x:c r="G20" s="22" t="n">
        <x:v>89.00343642611683</x:v>
      </x:c>
      <x:c r="H20" s="22" t="n">
        <x:v>252.57731958762886</x:v>
      </x:c>
      <x:c r="I20" s="22" t="n">
        <x:v>288.659793814433</x:v>
      </x:c>
      <x:c r="J20" s="22" t="n">
        <x:v>0</x:v>
      </x:c>
      <x:c r="K20" s="22" t="n">
        <x:v>505.1546391752577</x:v>
      </x:c>
      <x:c r="L20" s="22" t="n">
        <x:v>0</x:v>
      </x:c>
      <x:c r="M20" s="22" t="n">
        <x:v>0</x:v>
      </x:c>
      <x:c r="N20" s="22" t="n">
        <x:v>0</x:v>
      </x:c>
      <x:c r="O20" s="22" t="n">
        <x:v>0</x:v>
      </x:c>
      <x:c r="P20" s="22" t="n">
        <x:v>300.6872852233677</x:v>
      </x:c>
      <x:c r="Q20" s="22" t="n">
        <x:v>1602.0618556701031</x:v>
      </x:c>
      <x:c r="R20" s="22" t="n">
        <x:v>1602.06</x:v>
      </x:c>
      <x:c r="S20" s="20" t="n">
        <x:v>46085</x:v>
      </x:c>
      <x:c r="T20" s="22" t="n">
        <x:v>0</x:v>
      </x:c>
      <x:c r="U20" t="str">
        <x:v>Ödendi</x:v>
      </x:c>
    </x:row>
    <x:row r="21">
      <x:c r="A21" s="24" t="n">
        <x:v>46113</x:v>
      </x:c>
      <x:c r="B21" s="24" t="n">
        <x:v>46082</x:v>
      </x:c>
      <x:c r="C21" t="str">
        <x:v>B003-R003</x:v>
      </x:c>
      <x:c r="D21" t="n">
        <x:v>3</x:v>
      </x:c>
      <x:c r="E21" t="str">
        <x:v>Nihan Şahin</x:v>
      </x:c>
      <x:c r="F21" s="22" t="n">
        <x:v>151.54639175257734</x:v>
      </x:c>
      <x:c r="G21" s="22" t="n">
        <x:v>85.39518900343643</x:v>
      </x:c>
      <x:c r="H21" s="22" t="n">
        <x:v>252.57731958762886</x:v>
      </x:c>
      <x:c r="I21" s="22" t="n">
        <x:v>0</x:v>
      </x:c>
      <x:c r="J21" s="22" t="n">
        <x:v>0</x:v>
      </x:c>
      <x:c r="K21" s="22" t="n">
        <x:v>0</x:v>
      </x:c>
      <x:c r="L21" s="22" t="n">
        <x:v>288.659793814433</x:v>
      </x:c>
      <x:c r="M21" s="22" t="n">
        <x:v>0</x:v>
      </x:c>
      <x:c r="N21" s="22" t="n">
        <x:v>457.0446735395189</x:v>
      </x:c>
      <x:c r="O21" s="22" t="n">
        <x:v>0</x:v>
      </x:c>
      <x:c r="P21" s="22" t="n">
        <x:v>300.6872852233677</x:v>
      </x:c>
      <x:c r="Q21" s="22" t="n">
        <x:v>1535.9106529209623</x:v>
      </x:c>
      <x:c r="R21" s="22" t="n">
        <x:v>1535.91</x:v>
      </x:c>
      <x:c r="S21" s="20" t="n">
        <x:v>46119</x:v>
      </x:c>
      <x:c r="T21" s="22" t="n">
        <x:v>0</x:v>
      </x:c>
      <x:c r="U21" t="str">
        <x:v>Ödendi</x:v>
      </x:c>
    </x:row>
    <x:row r="22">
      <x:c r="A22" s="24" t="n">
        <x:v>46143</x:v>
      </x:c>
      <x:c r="B22" s="24" t="n">
        <x:v>46113</x:v>
      </x:c>
      <x:c r="C22" t="str">
        <x:v>B003-R003</x:v>
      </x:c>
      <x:c r="D22" t="n">
        <x:v>3</x:v>
      </x:c>
      <x:c r="E22" t="str">
        <x:v>Nihan Şahin</x:v>
      </x:c>
      <x:c r="F22" s="22" t="n">
        <x:v>162.37113402061857</x:v>
      </x:c>
      <x:c r="G22" s="22" t="n">
        <x:v>87.80068728522338</x:v>
      </x:c>
      <x:c r="H22" s="22" t="n">
        <x:v>264.6048109965636</x:v>
      </x:c>
      <x:c r="I22" s="22" t="n">
        <x:v>0</x:v>
      </x:c>
      <x:c r="J22" s="22" t="n">
        <x:v>745.7044673539519</x:v>
      </x:c>
      <x:c r="K22" s="22" t="n">
        <x:v>0</x:v>
      </x:c>
      <x:c r="L22" s="22" t="n">
        <x:v>0</x:v>
      </x:c>
      <x:c r="M22" s="22" t="n">
        <x:v>312.7147766323024</x:v>
      </x:c>
      <x:c r="N22" s="22" t="n">
        <x:v>0</x:v>
      </x:c>
      <x:c r="O22" s="22" t="n">
        <x:v>0</x:v>
      </x:c>
      <x:c r="P22" s="22" t="n">
        <x:v>300.6872852233677</x:v>
      </x:c>
      <x:c r="Q22" s="22" t="n">
        <x:v>1873.8831615120275</x:v>
      </x:c>
      <x:c r="R22" s="22" t="n">
        <x:v>1873.88</x:v>
      </x:c>
      <x:c r="S22" s="20" t="n">
        <x:v>46146</x:v>
      </x:c>
      <x:c r="T22" s="22" t="n">
        <x:v>0</x:v>
      </x:c>
      <x:c r="U22" t="str">
        <x:v>Ödendi</x:v>
      </x:c>
    </x:row>
    <x:row r="23">
      <x:c r="A23" s="24" t="n">
        <x:v>46174</x:v>
      </x:c>
      <x:c r="B23" s="24" t="n">
        <x:v>46143</x:v>
      </x:c>
      <x:c r="C23" t="str">
        <x:v>B003-R003</x:v>
      </x:c>
      <x:c r="D23" t="n">
        <x:v>3</x:v>
      </x:c>
      <x:c r="E23" t="str">
        <x:v>Nihan Şahin</x:v>
      </x:c>
      <x:c r="F23" s="22" t="n">
        <x:v>174.39862542955328</x:v>
      </x:c>
      <x:c r="G23" s="22" t="n">
        <x:v>93.81443298969073</x:v>
      </x:c>
      <x:c r="H23" s="22" t="n">
        <x:v>264.6048109965636</x:v>
      </x:c>
      <x:c r="I23" s="22" t="n">
        <x:v>432.9896907216495</x:v>
      </x:c>
      <x:c r="J23" s="22" t="n">
        <x:v>0</x:v>
      </x:c>
      <x:c r="K23" s="22" t="n">
        <x:v>0</x:v>
      </x:c>
      <x:c r="L23" s="22" t="n">
        <x:v>288.659793814433</x:v>
      </x:c>
      <x:c r="M23" s="22" t="n">
        <x:v>0</x:v>
      </x:c>
      <x:c r="N23" s="22" t="n">
        <x:v>0</x:v>
      </x:c>
      <x:c r="O23" s="22" t="n">
        <x:v>0</x:v>
      </x:c>
      <x:c r="P23" s="22" t="n">
        <x:v>300.6872852233677</x:v>
      </x:c>
      <x:c r="Q23" s="22" t="n">
        <x:v>1555.1546391752577</x:v>
      </x:c>
      <x:c r="R23" s="22" t="n">
        <x:v>1555.15</x:v>
      </x:c>
      <x:c r="S23" s="20" t="n">
        <x:v>46185</x:v>
      </x:c>
      <x:c r="T23" s="22" t="n">
        <x:v>0</x:v>
      </x:c>
      <x:c r="U23" t="str">
        <x:v>Ödendi</x:v>
      </x:c>
    </x:row>
    <x:row r="24">
      <x:c r="A24" s="24" t="n">
        <x:v>46204</x:v>
      </x:c>
      <x:c r="B24" s="24" t="n">
        <x:v>46174</x:v>
      </x:c>
      <x:c r="C24" t="str">
        <x:v>B003-R003</x:v>
      </x:c>
      <x:c r="D24" t="n">
        <x:v>3</x:v>
      </x:c>
      <x:c r="E24" t="str">
        <x:v>Nihan Şahin</x:v>
      </x:c>
      <x:c r="F24" s="22" t="n">
        <x:v>186.42611683848799</x:v>
      </x:c>
      <x:c r="G24" s="22" t="n">
        <x:v>98.62542955326461</x:v>
      </x:c>
      <x:c r="H24" s="22" t="n">
        <x:v>264.6048109965636</x:v>
      </x:c>
      <x:c r="I24" s="22" t="n">
        <x:v>0</x:v>
      </x:c>
      <x:c r="J24" s="22" t="n">
        <x:v>0</x:v>
      </x:c>
      <x:c r="K24" s="22" t="n">
        <x:v>0</x:v>
      </x:c>
      <x:c r="L24" s="22" t="n">
        <x:v>307.9037800687285</x:v>
      </x:c>
      <x:c r="M24" s="22" t="n">
        <x:v>0</x:v>
      </x:c>
      <x:c r="N24" s="22" t="n">
        <x:v>0</x:v>
      </x:c>
      <x:c r="O24" s="22" t="n">
        <x:v>1683.8487972508592</x:v>
      </x:c>
      <x:c r="P24" s="22" t="n">
        <x:v>300.6872852233677</x:v>
      </x:c>
      <x:c r="Q24" s="22" t="n">
        <x:v>2842.0962199312717</x:v>
      </x:c>
      <x:c r="R24" s="22" t="n">
        <x:v>2842.1</x:v>
      </x:c>
      <x:c r="S24" s="20" t="n">
        <x:v>46212</x:v>
      </x:c>
      <x:c r="T24" s="22" t="n">
        <x:v>0</x:v>
      </x:c>
      <x:c r="U24" t="str">
        <x:v>Ödendi</x:v>
      </x:c>
    </x:row>
    <x:row r="25">
      <x:c r="A25" s="24" t="n">
        <x:v>46023</x:v>
      </x:c>
      <x:c r="B25" s="24" t="n">
        <x:v>45992</x:v>
      </x:c>
      <x:c r="C25" t="str">
        <x:v>B003-R004</x:v>
      </x:c>
      <x:c r="D25" t="n">
        <x:v>4</x:v>
      </x:c>
      <x:c r="E25" t="str">
        <x:v>Deniz Karaca</x:v>
      </x:c>
      <x:c r="F25" s="22" t="n">
        <x:v>136.3573883161512</x:v>
      </x:c>
      <x:c r="G25" s="22" t="n">
        <x:v>72.57731958762886</x:v>
      </x:c>
      <x:c r="H25" s="22" t="n">
        <x:v>230.9278350515464</x:v>
      </x:c>
      <x:c r="I25" s="22" t="n">
        <x:v>197.93814432989691</x:v>
      </x:c>
      <x:c r="J25" s="22" t="n">
        <x:v>0</x:v>
      </x:c>
      <x:c r="K25" s="22" t="n">
        <x:v>0</x:v>
      </x:c>
      <x:c r="L25" s="22" t="n">
        <x:v>246.32302405498282</x:v>
      </x:c>
      <x:c r="M25" s="22" t="n">
        <x:v>0</x:v>
      </x:c>
      <x:c r="N25" s="22" t="n">
        <x:v>0</x:v>
      </x:c>
      <x:c r="O25" s="22" t="n">
        <x:v>0</x:v>
      </x:c>
      <x:c r="P25" s="22" t="n">
        <x:v>274.914089347079</x:v>
      </x:c>
      <x:c r="Q25" s="22" t="n">
        <x:v>1159.0378006872852</x:v>
      </x:c>
      <x:c r="R25" s="22" t="n">
        <x:v>1159.04</x:v>
      </x:c>
      <x:c r="S25" s="20" t="n">
        <x:v>46035</x:v>
      </x:c>
      <x:c r="T25" s="22" t="n">
        <x:v>0</x:v>
      </x:c>
      <x:c r="U25" t="str">
        <x:v>Ödendi</x:v>
      </x:c>
    </x:row>
    <x:row r="26">
      <x:c r="A26" s="24" t="n">
        <x:v>46054</x:v>
      </x:c>
      <x:c r="B26" s="24" t="n">
        <x:v>46023</x:v>
      </x:c>
      <x:c r="C26" t="str">
        <x:v>B003-R004</x:v>
      </x:c>
      <x:c r="D26" t="n">
        <x:v>4</x:v>
      </x:c>
      <x:c r="E26" t="str">
        <x:v>Deniz Karaca</x:v>
      </x:c>
      <x:c r="F26" s="22" t="n">
        <x:v>145.15463917525773</x:v>
      </x:c>
      <x:c r="G26" s="22" t="n">
        <x:v>74.7766323024055</x:v>
      </x:c>
      <x:c r="H26" s="22" t="n">
        <x:v>230.9278350515464</x:v>
      </x:c>
      <x:c r="I26" s="22" t="n">
        <x:v>0</x:v>
      </x:c>
      <x:c r="J26" s="22" t="n">
        <x:v>351.89003436426117</x:v>
      </x:c>
      <x:c r="K26" s="22" t="n">
        <x:v>0</x:v>
      </x:c>
      <x:c r="L26" s="22" t="n">
        <x:v>246.32302405498282</x:v>
      </x:c>
      <x:c r="M26" s="22" t="n">
        <x:v>0</x:v>
      </x:c>
      <x:c r="N26" s="22" t="n">
        <x:v>0</x:v>
      </x:c>
      <x:c r="O26" s="22" t="n">
        <x:v>0</x:v>
      </x:c>
      <x:c r="P26" s="22" t="n">
        <x:v>274.914089347079</x:v>
      </x:c>
      <x:c r="Q26" s="22" t="n">
        <x:v>1323.9862542955327</x:v>
      </x:c>
      <x:c r="R26" s="22" t="n">
        <x:v>1323.99</x:v>
      </x:c>
      <x:c r="S26" s="20" t="n">
        <x:v>46058</x:v>
      </x:c>
      <x:c r="T26" s="22" t="n">
        <x:v>0</x:v>
      </x:c>
      <x:c r="U26" t="str">
        <x:v>Ödendi</x:v>
      </x:c>
    </x:row>
    <x:row r="27">
      <x:c r="A27" s="24" t="n">
        <x:v>46082</x:v>
      </x:c>
      <x:c r="B27" s="24" t="n">
        <x:v>46054</x:v>
      </x:c>
      <x:c r="C27" t="str">
        <x:v>B003-R004</x:v>
      </x:c>
      <x:c r="D27" t="n">
        <x:v>4</x:v>
      </x:c>
      <x:c r="E27" t="str">
        <x:v>Deniz Karaca</x:v>
      </x:c>
      <x:c r="F27" s="22" t="n">
        <x:v>151.75257731958763</x:v>
      </x:c>
      <x:c r="G27" s="22" t="n">
        <x:v>81.37457044673539</x:v>
      </x:c>
      <x:c r="H27" s="22" t="n">
        <x:v>230.9278350515464</x:v>
      </x:c>
      <x:c r="I27" s="22" t="n">
        <x:v>263.91752577319585</x:v>
      </x:c>
      <x:c r="J27" s="22" t="n">
        <x:v>0</x:v>
      </x:c>
      <x:c r="K27" s="22" t="n">
        <x:v>461.8556701030928</x:v>
      </x:c>
      <x:c r="L27" s="22" t="n">
        <x:v>0</x:v>
      </x:c>
      <x:c r="M27" s="22" t="n">
        <x:v>0</x:v>
      </x:c>
      <x:c r="N27" s="22" t="n">
        <x:v>0</x:v>
      </x:c>
      <x:c r="O27" s="22" t="n">
        <x:v>0</x:v>
      </x:c>
      <x:c r="P27" s="22" t="n">
        <x:v>274.914089347079</x:v>
      </x:c>
      <x:c r="Q27" s="22" t="n">
        <x:v>1464.7422680412371</x:v>
      </x:c>
      <x:c r="R27" s="22" t="n">
        <x:v>1464.74</x:v>
      </x:c>
      <x:c r="S27" s="20" t="n">
        <x:v>46092</x:v>
      </x:c>
      <x:c r="T27" s="22" t="n">
        <x:v>0</x:v>
      </x:c>
      <x:c r="U27" t="str">
        <x:v>Ödendi</x:v>
      </x:c>
    </x:row>
    <x:row r="28">
      <x:c r="A28" s="24" t="n">
        <x:v>46113</x:v>
      </x:c>
      <x:c r="B28" s="24" t="n">
        <x:v>46082</x:v>
      </x:c>
      <x:c r="C28" t="str">
        <x:v>B003-R004</x:v>
      </x:c>
      <x:c r="D28" t="n">
        <x:v>4</x:v>
      </x:c>
      <x:c r="E28" t="str">
        <x:v>Deniz Karaca</x:v>
      </x:c>
      <x:c r="F28" s="22" t="n">
        <x:v>138.55670103092783</x:v>
      </x:c>
      <x:c r="G28" s="22" t="n">
        <x:v>78.07560137457044</x:v>
      </x:c>
      <x:c r="H28" s="22" t="n">
        <x:v>230.9278350515464</x:v>
      </x:c>
      <x:c r="I28" s="22" t="n">
        <x:v>0</x:v>
      </x:c>
      <x:c r="J28" s="22" t="n">
        <x:v>0</x:v>
      </x:c>
      <x:c r="K28" s="22" t="n">
        <x:v>0</x:v>
      </x:c>
      <x:c r="L28" s="22" t="n">
        <x:v>263.91752577319585</x:v>
      </x:c>
      <x:c r="M28" s="22" t="n">
        <x:v>0</x:v>
      </x:c>
      <x:c r="N28" s="22" t="n">
        <x:v>417.86941580756013</x:v>
      </x:c>
      <x:c r="O28" s="22" t="n">
        <x:v>0</x:v>
      </x:c>
      <x:c r="P28" s="22" t="n">
        <x:v>274.914089347079</x:v>
      </x:c>
      <x:c r="Q28" s="22" t="n">
        <x:v>1404.2611683848797</x:v>
      </x:c>
      <x:c r="R28" s="22" t="n">
        <x:v>1404.26</x:v>
      </x:c>
      <x:c r="S28" s="20" t="n">
        <x:v>46118</x:v>
      </x:c>
      <x:c r="T28" s="22" t="n">
        <x:v>0</x:v>
      </x:c>
      <x:c r="U28" t="str">
        <x:v>Ödendi</x:v>
      </x:c>
    </x:row>
    <x:row r="29">
      <x:c r="A29" s="24" t="n">
        <x:v>46143</x:v>
      </x:c>
      <x:c r="B29" s="24" t="n">
        <x:v>46113</x:v>
      </x:c>
      <x:c r="C29" t="str">
        <x:v>B003-R004</x:v>
      </x:c>
      <x:c r="D29" t="n">
        <x:v>4</x:v>
      </x:c>
      <x:c r="E29" t="str">
        <x:v>Deniz Karaca</x:v>
      </x:c>
      <x:c r="F29" s="22" t="n">
        <x:v>148.45360824742266</x:v>
      </x:c>
      <x:c r="G29" s="22" t="n">
        <x:v>80.27491408934708</x:v>
      </x:c>
      <x:c r="H29" s="22" t="n">
        <x:v>241.92439862542955</x:v>
      </x:c>
      <x:c r="I29" s="22" t="n">
        <x:v>0</x:v>
      </x:c>
      <x:c r="J29" s="22" t="n">
        <x:v>681.786941580756</x:v>
      </x:c>
      <x:c r="K29" s="22" t="n">
        <x:v>0</x:v>
      </x:c>
      <x:c r="L29" s="22" t="n">
        <x:v>0</x:v>
      </x:c>
      <x:c r="M29" s="22" t="n">
        <x:v>285.9106529209622</x:v>
      </x:c>
      <x:c r="N29" s="22" t="n">
        <x:v>0</x:v>
      </x:c>
      <x:c r="O29" s="22" t="n">
        <x:v>0</x:v>
      </x:c>
      <x:c r="P29" s="22" t="n">
        <x:v>274.914089347079</x:v>
      </x:c>
      <x:c r="Q29" s="22" t="n">
        <x:v>1713.2646048109964</x:v>
      </x:c>
      <x:c r="R29" s="22" t="n">
        <x:v>856.63</x:v>
      </x:c>
      <x:c r="S29" s="20" t="n">
        <x:v>46157</x:v>
      </x:c>
      <x:c r="T29" s="22" t="n">
        <x:v>856.63</x:v>
      </x:c>
      <x:c r="U29" t="str">
        <x:v>Kısmi Ödeme</x:v>
      </x:c>
    </x:row>
    <x:row r="30">
      <x:c r="A30" s="24" t="n">
        <x:v>46174</x:v>
      </x:c>
      <x:c r="B30" s="24" t="n">
        <x:v>46143</x:v>
      </x:c>
      <x:c r="C30" t="str">
        <x:v>B003-R004</x:v>
      </x:c>
      <x:c r="D30" t="n">
        <x:v>4</x:v>
      </x:c>
      <x:c r="E30" t="str">
        <x:v>Deniz Karaca</x:v>
      </x:c>
      <x:c r="F30" s="22" t="n">
        <x:v>159.45017182130584</x:v>
      </x:c>
      <x:c r="G30" s="22" t="n">
        <x:v>85.77319587628865</x:v>
      </x:c>
      <x:c r="H30" s="22" t="n">
        <x:v>241.92439862542955</x:v>
      </x:c>
      <x:c r="I30" s="22" t="n">
        <x:v>395.87628865979383</x:v>
      </x:c>
      <x:c r="J30" s="22" t="n">
        <x:v>0</x:v>
      </x:c>
      <x:c r="K30" s="22" t="n">
        <x:v>0</x:v>
      </x:c>
      <x:c r="L30" s="22" t="n">
        <x:v>263.91752577319585</x:v>
      </x:c>
      <x:c r="M30" s="22" t="n">
        <x:v>0</x:v>
      </x:c>
      <x:c r="N30" s="22" t="n">
        <x:v>0</x:v>
      </x:c>
      <x:c r="O30" s="22" t="n">
        <x:v>0</x:v>
      </x:c>
      <x:c r="P30" s="22" t="n">
        <x:v>274.914089347079</x:v>
      </x:c>
      <x:c r="Q30" s="22" t="n">
        <x:v>1421.8556701030927</x:v>
      </x:c>
      <x:c r="R30" s="22" t="n">
        <x:v>1421.86</x:v>
      </x:c>
      <x:c r="S30" s="20" t="n">
        <x:v>46182</x:v>
      </x:c>
      <x:c r="T30" s="22" t="n">
        <x:v>0</x:v>
      </x:c>
      <x:c r="U30" t="str">
        <x:v>Ödendi</x:v>
      </x:c>
    </x:row>
    <x:row r="31">
      <x:c r="A31" s="24" t="n">
        <x:v>46204</x:v>
      </x:c>
      <x:c r="B31" s="24" t="n">
        <x:v>46174</x:v>
      </x:c>
      <x:c r="C31" t="str">
        <x:v>B003-R004</x:v>
      </x:c>
      <x:c r="D31" t="n">
        <x:v>4</x:v>
      </x:c>
      <x:c r="E31" t="str">
        <x:v>Deniz Karaca</x:v>
      </x:c>
      <x:c r="F31" s="22" t="n">
        <x:v>170.446735395189</x:v>
      </x:c>
      <x:c r="G31" s="22" t="n">
        <x:v>90.17182130584192</x:v>
      </x:c>
      <x:c r="H31" s="22" t="n">
        <x:v>241.92439862542955</x:v>
      </x:c>
      <x:c r="I31" s="22" t="n">
        <x:v>0</x:v>
      </x:c>
      <x:c r="J31" s="22" t="n">
        <x:v>0</x:v>
      </x:c>
      <x:c r="K31" s="22" t="n">
        <x:v>0</x:v>
      </x:c>
      <x:c r="L31" s="22" t="n">
        <x:v>281.51202749140896</x:v>
      </x:c>
      <x:c r="M31" s="22" t="n">
        <x:v>0</x:v>
      </x:c>
      <x:c r="N31" s="22" t="n">
        <x:v>0</x:v>
      </x:c>
      <x:c r="O31" s="22" t="n">
        <x:v>1539.5189003436426</x:v>
      </x:c>
      <x:c r="P31" s="22" t="n">
        <x:v>274.914089347079</x:v>
      </x:c>
      <x:c r="Q31" s="22" t="n">
        <x:v>2598.487972508591</x:v>
      </x:c>
      <x:c r="R31" s="22" t="n">
        <x:v>0</x:v>
      </x:c>
      <x:c r="S31" s="20"/>
      <x:c r="T31" s="22" t="n">
        <x:v>2598.49</x:v>
      </x:c>
      <x:c r="U31" t="str">
        <x:v>Ödenmedi</x:v>
      </x:c>
    </x:row>
    <x:row r="32">
      <x:c r="A32" s="24" t="n">
        <x:v>46023</x:v>
      </x:c>
      <x:c r="B32" s="24" t="n">
        <x:v>45992</x:v>
      </x:c>
      <x:c r="C32" t="str">
        <x:v>B003-R005</x:v>
      </x:c>
      <x:c r="D32" t="n">
        <x:v>5</x:v>
      </x:c>
      <x:c r="E32" t="str">
        <x:v>Murat Aksoy</x:v>
      </x:c>
      <x:c r="F32" s="22" t="n">
        <x:v>127.83505154639174</x:v>
      </x:c>
      <x:c r="G32" s="22" t="n">
        <x:v>68.04123711340206</x:v>
      </x:c>
      <x:c r="H32" s="22" t="n">
        <x:v>216.49484536082474</x:v>
      </x:c>
      <x:c r="I32" s="22" t="n">
        <x:v>185.56701030927834</x:v>
      </x:c>
      <x:c r="J32" s="22" t="n">
        <x:v>0</x:v>
      </x:c>
      <x:c r="K32" s="22" t="n">
        <x:v>0</x:v>
      </x:c>
      <x:c r="L32" s="22" t="n">
        <x:v>230.92783505154637</x:v>
      </x:c>
      <x:c r="M32" s="22" t="n">
        <x:v>0</x:v>
      </x:c>
      <x:c r="N32" s="22" t="n">
        <x:v>0</x:v>
      </x:c>
      <x:c r="O32" s="22" t="n">
        <x:v>0</x:v>
      </x:c>
      <x:c r="P32" s="22" t="n">
        <x:v>257.73195876288656</x:v>
      </x:c>
      <x:c r="Q32" s="22" t="n">
        <x:v>1086.5979381443299</x:v>
      </x:c>
      <x:c r="R32" s="22" t="n">
        <x:v>1086.6</x:v>
      </x:c>
      <x:c r="S32" s="20" t="n">
        <x:v>46029</x:v>
      </x:c>
      <x:c r="T32" s="22" t="n">
        <x:v>0</x:v>
      </x:c>
      <x:c r="U32" t="str">
        <x:v>Ödendi</x:v>
      </x:c>
    </x:row>
    <x:row r="33">
      <x:c r="A33" s="24" t="n">
        <x:v>46054</x:v>
      </x:c>
      <x:c r="B33" s="24" t="n">
        <x:v>46023</x:v>
      </x:c>
      <x:c r="C33" t="str">
        <x:v>B003-R005</x:v>
      </x:c>
      <x:c r="D33" t="n">
        <x:v>5</x:v>
      </x:c>
      <x:c r="E33" t="str">
        <x:v>Murat Aksoy</x:v>
      </x:c>
      <x:c r="F33" s="22" t="n">
        <x:v>136.08247422680412</x:v>
      </x:c>
      <x:c r="G33" s="22" t="n">
        <x:v>70.10309278350515</x:v>
      </x:c>
      <x:c r="H33" s="22" t="n">
        <x:v>216.49484536082474</x:v>
      </x:c>
      <x:c r="I33" s="22" t="n">
        <x:v>0</x:v>
      </x:c>
      <x:c r="J33" s="22" t="n">
        <x:v>329.8969072164948</x:v>
      </x:c>
      <x:c r="K33" s="22" t="n">
        <x:v>0</x:v>
      </x:c>
      <x:c r="L33" s="22" t="n">
        <x:v>230.92783505154637</x:v>
      </x:c>
      <x:c r="M33" s="22" t="n">
        <x:v>0</x:v>
      </x:c>
      <x:c r="N33" s="22" t="n">
        <x:v>0</x:v>
      </x:c>
      <x:c r="O33" s="22" t="n">
        <x:v>0</x:v>
      </x:c>
      <x:c r="P33" s="22" t="n">
        <x:v>257.73195876288656</x:v>
      </x:c>
      <x:c r="Q33" s="22" t="n">
        <x:v>1241.2371134020618</x:v>
      </x:c>
      <x:c r="R33" s="22" t="n">
        <x:v>1241.24</x:v>
      </x:c>
      <x:c r="S33" s="20" t="n">
        <x:v>46058</x:v>
      </x:c>
      <x:c r="T33" s="22" t="n">
        <x:v>0</x:v>
      </x:c>
      <x:c r="U33" t="str">
        <x:v>Ödendi</x:v>
      </x:c>
    </x:row>
    <x:row r="34">
      <x:c r="A34" s="24" t="n">
        <x:v>46082</x:v>
      </x:c>
      <x:c r="B34" s="24" t="n">
        <x:v>46054</x:v>
      </x:c>
      <x:c r="C34" t="str">
        <x:v>B003-R005</x:v>
      </x:c>
      <x:c r="D34" t="n">
        <x:v>5</x:v>
      </x:c>
      <x:c r="E34" t="str">
        <x:v>Murat Aksoy</x:v>
      </x:c>
      <x:c r="F34" s="22" t="n">
        <x:v>142.2680412371134</x:v>
      </x:c>
      <x:c r="G34" s="22" t="n">
        <x:v>76.28865979381443</x:v>
      </x:c>
      <x:c r="H34" s="22" t="n">
        <x:v>216.49484536082474</x:v>
      </x:c>
      <x:c r="I34" s="22" t="n">
        <x:v>247.4226804123711</x:v>
      </x:c>
      <x:c r="J34" s="22" t="n">
        <x:v>0</x:v>
      </x:c>
      <x:c r="K34" s="22" t="n">
        <x:v>432.9896907216495</x:v>
      </x:c>
      <x:c r="L34" s="22" t="n">
        <x:v>0</x:v>
      </x:c>
      <x:c r="M34" s="22" t="n">
        <x:v>0</x:v>
      </x:c>
      <x:c r="N34" s="22" t="n">
        <x:v>0</x:v>
      </x:c>
      <x:c r="O34" s="22" t="n">
        <x:v>0</x:v>
      </x:c>
      <x:c r="P34" s="22" t="n">
        <x:v>257.73195876288656</x:v>
      </x:c>
      <x:c r="Q34" s="22" t="n">
        <x:v>1373.1958762886597</x:v>
      </x:c>
      <x:c r="R34" s="22" t="n">
        <x:v>0</x:v>
      </x:c>
      <x:c r="S34" s="20"/>
      <x:c r="T34" s="22" t="n">
        <x:v>1373.2</x:v>
      </x:c>
      <x:c r="U34" t="str">
        <x:v>Ödenmedi</x:v>
      </x:c>
    </x:row>
    <x:row r="35">
      <x:c r="A35" s="24" t="n">
        <x:v>46113</x:v>
      </x:c>
      <x:c r="B35" s="24" t="n">
        <x:v>46082</x:v>
      </x:c>
      <x:c r="C35" t="str">
        <x:v>B003-R005</x:v>
      </x:c>
      <x:c r="D35" t="n">
        <x:v>5</x:v>
      </x:c>
      <x:c r="E35" t="str">
        <x:v>Murat Aksoy</x:v>
      </x:c>
      <x:c r="F35" s="22" t="n">
        <x:v>129.89690721649484</x:v>
      </x:c>
      <x:c r="G35" s="22" t="n">
        <x:v>73.19587628865979</x:v>
      </x:c>
      <x:c r="H35" s="22" t="n">
        <x:v>216.49484536082474</x:v>
      </x:c>
      <x:c r="I35" s="22" t="n">
        <x:v>0</x:v>
      </x:c>
      <x:c r="J35" s="22" t="n">
        <x:v>0</x:v>
      </x:c>
      <x:c r="K35" s="22" t="n">
        <x:v>0</x:v>
      </x:c>
      <x:c r="L35" s="22" t="n">
        <x:v>247.4226804123711</x:v>
      </x:c>
      <x:c r="M35" s="22" t="n">
        <x:v>0</x:v>
      </x:c>
      <x:c r="N35" s="22" t="n">
        <x:v>391.7525773195876</x:v>
      </x:c>
      <x:c r="O35" s="22" t="n">
        <x:v>0</x:v>
      </x:c>
      <x:c r="P35" s="22" t="n">
        <x:v>257.73195876288656</x:v>
      </x:c>
      <x:c r="Q35" s="22" t="n">
        <x:v>1316.4948453608247</x:v>
      </x:c>
      <x:c r="R35" s="22" t="n">
        <x:v>1316.49</x:v>
      </x:c>
      <x:c r="S35" s="20" t="n">
        <x:v>46118</x:v>
      </x:c>
      <x:c r="T35" s="22" t="n">
        <x:v>0</x:v>
      </x:c>
      <x:c r="U35" t="str">
        <x:v>Ödendi</x:v>
      </x:c>
    </x:row>
    <x:row r="36">
      <x:c r="A36" s="24" t="n">
        <x:v>46143</x:v>
      </x:c>
      <x:c r="B36" s="24" t="n">
        <x:v>46113</x:v>
      </x:c>
      <x:c r="C36" t="str">
        <x:v>B003-R005</x:v>
      </x:c>
      <x:c r="D36" t="n">
        <x:v>5</x:v>
      </x:c>
      <x:c r="E36" t="str">
        <x:v>Murat Aksoy</x:v>
      </x:c>
      <x:c r="F36" s="22" t="n">
        <x:v>139.17525773195877</x:v>
      </x:c>
      <x:c r="G36" s="22" t="n">
        <x:v>75.25773195876289</x:v>
      </x:c>
      <x:c r="H36" s="22" t="n">
        <x:v>226.8041237113402</x:v>
      </x:c>
      <x:c r="I36" s="22" t="n">
        <x:v>0</x:v>
      </x:c>
      <x:c r="J36" s="22" t="n">
        <x:v>639.1752577319587</x:v>
      </x:c>
      <x:c r="K36" s="22" t="n">
        <x:v>0</x:v>
      </x:c>
      <x:c r="L36" s="22" t="n">
        <x:v>0</x:v>
      </x:c>
      <x:c r="M36" s="22" t="n">
        <x:v>268.0412371134021</x:v>
      </x:c>
      <x:c r="N36" s="22" t="n">
        <x:v>0</x:v>
      </x:c>
      <x:c r="O36" s="22" t="n">
        <x:v>0</x:v>
      </x:c>
      <x:c r="P36" s="22" t="n">
        <x:v>257.73195876288656</x:v>
      </x:c>
      <x:c r="Q36" s="22" t="n">
        <x:v>1606.1855670103091</x:v>
      </x:c>
      <x:c r="R36" s="22" t="n">
        <x:v>1606.19</x:v>
      </x:c>
      <x:c r="S36" s="20" t="n">
        <x:v>46150</x:v>
      </x:c>
      <x:c r="T36" s="22" t="n">
        <x:v>0</x:v>
      </x:c>
      <x:c r="U36" t="str">
        <x:v>Ödendi</x:v>
      </x:c>
    </x:row>
    <x:row r="37">
      <x:c r="A37" s="24" t="n">
        <x:v>46174</x:v>
      </x:c>
      <x:c r="B37" s="24" t="n">
        <x:v>46143</x:v>
      </x:c>
      <x:c r="C37" t="str">
        <x:v>B003-R005</x:v>
      </x:c>
      <x:c r="D37" t="n">
        <x:v>5</x:v>
      </x:c>
      <x:c r="E37" t="str">
        <x:v>Murat Aksoy</x:v>
      </x:c>
      <x:c r="F37" s="22" t="n">
        <x:v>149.48453608247422</x:v>
      </x:c>
      <x:c r="G37" s="22" t="n">
        <x:v>80.41237113402062</x:v>
      </x:c>
      <x:c r="H37" s="22" t="n">
        <x:v>226.8041237113402</x:v>
      </x:c>
      <x:c r="I37" s="22" t="n">
        <x:v>371.1340206185567</x:v>
      </x:c>
      <x:c r="J37" s="22" t="n">
        <x:v>0</x:v>
      </x:c>
      <x:c r="K37" s="22" t="n">
        <x:v>0</x:v>
      </x:c>
      <x:c r="L37" s="22" t="n">
        <x:v>247.4226804123711</x:v>
      </x:c>
      <x:c r="M37" s="22" t="n">
        <x:v>0</x:v>
      </x:c>
      <x:c r="N37" s="22" t="n">
        <x:v>0</x:v>
      </x:c>
      <x:c r="O37" s="22" t="n">
        <x:v>0</x:v>
      </x:c>
      <x:c r="P37" s="22" t="n">
        <x:v>257.73195876288656</x:v>
      </x:c>
      <x:c r="Q37" s="22" t="n">
        <x:v>1332.9896907216494</x:v>
      </x:c>
      <x:c r="R37" s="22" t="n">
        <x:v>1332.99</x:v>
      </x:c>
      <x:c r="S37" s="20" t="n">
        <x:v>46183</x:v>
      </x:c>
      <x:c r="T37" s="22" t="n">
        <x:v>0</x:v>
      </x:c>
      <x:c r="U37" t="str">
        <x:v>Ödendi</x:v>
      </x:c>
    </x:row>
    <x:row r="38">
      <x:c r="A38" s="24" t="n">
        <x:v>46204</x:v>
      </x:c>
      <x:c r="B38" s="24" t="n">
        <x:v>46174</x:v>
      </x:c>
      <x:c r="C38" t="str">
        <x:v>B003-R005</x:v>
      </x:c>
      <x:c r="D38" t="n">
        <x:v>5</x:v>
      </x:c>
      <x:c r="E38" t="str">
        <x:v>Murat Aksoy</x:v>
      </x:c>
      <x:c r="F38" s="22" t="n">
        <x:v>159.79381443298968</x:v>
      </x:c>
      <x:c r="G38" s="22" t="n">
        <x:v>84.5360824742268</x:v>
      </x:c>
      <x:c r="H38" s="22" t="n">
        <x:v>226.8041237113402</x:v>
      </x:c>
      <x:c r="I38" s="22" t="n">
        <x:v>0</x:v>
      </x:c>
      <x:c r="J38" s="22" t="n">
        <x:v>0</x:v>
      </x:c>
      <x:c r="K38" s="22" t="n">
        <x:v>0</x:v>
      </x:c>
      <x:c r="L38" s="22" t="n">
        <x:v>263.91752577319585</x:v>
      </x:c>
      <x:c r="M38" s="22" t="n">
        <x:v>0</x:v>
      </x:c>
      <x:c r="N38" s="22" t="n">
        <x:v>0</x:v>
      </x:c>
      <x:c r="O38" s="22" t="n">
        <x:v>1443.298969072165</x:v>
      </x:c>
      <x:c r="P38" s="22" t="n">
        <x:v>257.73195876288656</x:v>
      </x:c>
      <x:c r="Q38" s="22" t="n">
        <x:v>2436.082474226804</x:v>
      </x:c>
      <x:c r="R38" s="22" t="n">
        <x:v>2436.08</x:v>
      </x:c>
      <x:c r="S38" s="20" t="n">
        <x:v>46208</x:v>
      </x:c>
      <x:c r="T38" s="22" t="n">
        <x:v>0</x:v>
      </x:c>
      <x:c r="U38" t="str">
        <x:v>Ödendi</x:v>
      </x:c>
    </x:row>
    <x:row r="39">
      <x:c r="A39" s="24" t="n">
        <x:v>46023</x:v>
      </x:c>
      <x:c r="B39" s="24" t="n">
        <x:v>45992</x:v>
      </x:c>
      <x:c r="C39" t="str">
        <x:v>B003-R006</x:v>
      </x:c>
      <x:c r="D39" t="n">
        <x:v>6</x:v>
      </x:c>
      <x:c r="E39" t="str">
        <x:v>Gül Koç</x:v>
      </x:c>
      <x:c r="F39" s="22" t="n">
        <x:v>224.42153493699885</x:v>
      </x:c>
      <x:c r="G39" s="22" t="n">
        <x:v>119.45017182130584</x:v>
      </x:c>
      <x:c r="H39" s="22" t="n">
        <x:v>380.06872852233676</x:v>
      </x:c>
      <x:c r="I39" s="22" t="n">
        <x:v>325.77319587628864</x:v>
      </x:c>
      <x:c r="J39" s="22" t="n">
        <x:v>0</x:v>
      </x:c>
      <x:c r="K39" s="22" t="n">
        <x:v>0</x:v>
      </x:c>
      <x:c r="L39" s="22" t="n">
        <x:v>405.4066437571592</x:v>
      </x:c>
      <x:c r="M39" s="22" t="n">
        <x:v>0</x:v>
      </x:c>
      <x:c r="N39" s="22" t="n">
        <x:v>0</x:v>
      </x:c>
      <x:c r="O39" s="22" t="n">
        <x:v>0</x:v>
      </x:c>
      <x:c r="P39" s="22" t="n">
        <x:v>452.46277205040093</x:v>
      </x:c>
      <x:c r="Q39" s="22" t="n">
        <x:v>1907.5830469644902</x:v>
      </x:c>
      <x:c r="R39" s="22" t="n">
        <x:v>1907.58</x:v>
      </x:c>
      <x:c r="S39" s="20" t="n">
        <x:v>46035</x:v>
      </x:c>
      <x:c r="T39" s="22" t="n">
        <x:v>0</x:v>
      </x:c>
      <x:c r="U39" t="str">
        <x:v>Ödendi</x:v>
      </x:c>
    </x:row>
    <x:row r="40">
      <x:c r="A40" s="24" t="n">
        <x:v>46054</x:v>
      </x:c>
      <x:c r="B40" s="24" t="n">
        <x:v>46023</x:v>
      </x:c>
      <x:c r="C40" t="str">
        <x:v>B003-R006</x:v>
      </x:c>
      <x:c r="D40" t="n">
        <x:v>6</x:v>
      </x:c>
      <x:c r="E40" t="str">
        <x:v>Gül Koç</x:v>
      </x:c>
      <x:c r="F40" s="22" t="n">
        <x:v>238.9003436426117</x:v>
      </x:c>
      <x:c r="G40" s="22" t="n">
        <x:v>123.06987399770905</x:v>
      </x:c>
      <x:c r="H40" s="22" t="n">
        <x:v>380.06872852233676</x:v>
      </x:c>
      <x:c r="I40" s="22" t="n">
        <x:v>0</x:v>
      </x:c>
      <x:c r="J40" s="22" t="n">
        <x:v>579.1523482245132</x:v>
      </x:c>
      <x:c r="K40" s="22" t="n">
        <x:v>0</x:v>
      </x:c>
      <x:c r="L40" s="22" t="n">
        <x:v>405.4066437571592</x:v>
      </x:c>
      <x:c r="M40" s="22" t="n">
        <x:v>0</x:v>
      </x:c>
      <x:c r="N40" s="22" t="n">
        <x:v>0</x:v>
      </x:c>
      <x:c r="O40" s="22" t="n">
        <x:v>0</x:v>
      </x:c>
      <x:c r="P40" s="22" t="n">
        <x:v>452.46277205040093</x:v>
      </x:c>
      <x:c r="Q40" s="22" t="n">
        <x:v>2179.0607101947307</x:v>
      </x:c>
      <x:c r="R40" s="22" t="n">
        <x:v>2179.06</x:v>
      </x:c>
      <x:c r="S40" s="20" t="n">
        <x:v>46065</x:v>
      </x:c>
      <x:c r="T40" s="22" t="n">
        <x:v>0</x:v>
      </x:c>
      <x:c r="U40" t="str">
        <x:v>Ödendi</x:v>
      </x:c>
    </x:row>
    <x:row r="41">
      <x:c r="A41" s="24" t="n">
        <x:v>46082</x:v>
      </x:c>
      <x:c r="B41" s="24" t="n">
        <x:v>46054</x:v>
      </x:c>
      <x:c r="C41" t="str">
        <x:v>B003-R006</x:v>
      </x:c>
      <x:c r="D41" t="n">
        <x:v>6</x:v>
      </x:c>
      <x:c r="E41" t="str">
        <x:v>Gül Koç</x:v>
      </x:c>
      <x:c r="F41" s="22" t="n">
        <x:v>249.7594501718213</x:v>
      </x:c>
      <x:c r="G41" s="22" t="n">
        <x:v>133.92898052691868</x:v>
      </x:c>
      <x:c r="H41" s="22" t="n">
        <x:v>380.06872852233676</x:v>
      </x:c>
      <x:c r="I41" s="22" t="n">
        <x:v>434.36426116838487</x:v>
      </x:c>
      <x:c r="J41" s="22" t="n">
        <x:v>0</x:v>
      </x:c>
      <x:c r="K41" s="22" t="n">
        <x:v>760.1374570446735</x:v>
      </x:c>
      <x:c r="L41" s="22" t="n">
        <x:v>0</x:v>
      </x:c>
      <x:c r="M41" s="22" t="n">
        <x:v>0</x:v>
      </x:c>
      <x:c r="N41" s="22" t="n">
        <x:v>0</x:v>
      </x:c>
      <x:c r="O41" s="22" t="n">
        <x:v>0</x:v>
      </x:c>
      <x:c r="P41" s="22" t="n">
        <x:v>452.46277205040093</x:v>
      </x:c>
      <x:c r="Q41" s="22" t="n">
        <x:v>2410.721649484536</x:v>
      </x:c>
      <x:c r="R41" s="22" t="n">
        <x:v>2410.72</x:v>
      </x:c>
      <x:c r="S41" s="20" t="n">
        <x:v>46090</x:v>
      </x:c>
      <x:c r="T41" s="22" t="n">
        <x:v>0</x:v>
      </x:c>
      <x:c r="U41" t="str">
        <x:v>Ödendi</x:v>
      </x:c>
    </x:row>
    <x:row r="42">
      <x:c r="A42" s="24" t="n">
        <x:v>46113</x:v>
      </x:c>
      <x:c r="B42" s="24" t="n">
        <x:v>46082</x:v>
      </x:c>
      <x:c r="C42" t="str">
        <x:v>B003-R006</x:v>
      </x:c>
      <x:c r="D42" t="n">
        <x:v>6</x:v>
      </x:c>
      <x:c r="E42" t="str">
        <x:v>Gül Koç</x:v>
      </x:c>
      <x:c r="F42" s="22" t="n">
        <x:v>228.04123711340205</x:v>
      </x:c>
      <x:c r="G42" s="22" t="n">
        <x:v>128.49942726231384</x:v>
      </x:c>
      <x:c r="H42" s="22" t="n">
        <x:v>380.06872852233676</x:v>
      </x:c>
      <x:c r="I42" s="22" t="n">
        <x:v>0</x:v>
      </x:c>
      <x:c r="J42" s="22" t="n">
        <x:v>0</x:v>
      </x:c>
      <x:c r="K42" s="22" t="n">
        <x:v>0</x:v>
      </x:c>
      <x:c r="L42" s="22" t="n">
        <x:v>434.36426116838487</x:v>
      </x:c>
      <x:c r="M42" s="22" t="n">
        <x:v>0</x:v>
      </x:c>
      <x:c r="N42" s="22" t="n">
        <x:v>687.7434135166094</x:v>
      </x:c>
      <x:c r="O42" s="22" t="n">
        <x:v>0</x:v>
      </x:c>
      <x:c r="P42" s="22" t="n">
        <x:v>452.46277205040093</x:v>
      </x:c>
      <x:c r="Q42" s="22" t="n">
        <x:v>2311.179839633448</x:v>
      </x:c>
      <x:c r="R42" s="22" t="n">
        <x:v>2311.18</x:v>
      </x:c>
      <x:c r="S42" s="20" t="n">
        <x:v>46116</x:v>
      </x:c>
      <x:c r="T42" s="22" t="n">
        <x:v>0</x:v>
      </x:c>
      <x:c r="U42" t="str">
        <x:v>Ödendi</x:v>
      </x:c>
    </x:row>
    <x:row r="43">
      <x:c r="A43" s="24" t="n">
        <x:v>46143</x:v>
      </x:c>
      <x:c r="B43" s="24" t="n">
        <x:v>46113</x:v>
      </x:c>
      <x:c r="C43" t="str">
        <x:v>B003-R006</x:v>
      </x:c>
      <x:c r="D43" t="n">
        <x:v>6</x:v>
      </x:c>
      <x:c r="E43" t="str">
        <x:v>Gül Koç</x:v>
      </x:c>
      <x:c r="F43" s="22" t="n">
        <x:v>244.3298969072165</x:v>
      </x:c>
      <x:c r="G43" s="22" t="n">
        <x:v>132.11912943871707</x:v>
      </x:c>
      <x:c r="H43" s="22" t="n">
        <x:v>398.1672394043528</x:v>
      </x:c>
      <x:c r="I43" s="22" t="n">
        <x:v>0</x:v>
      </x:c>
      <x:c r="J43" s="22" t="n">
        <x:v>1122.1076746849942</x:v>
      </x:c>
      <x:c r="K43" s="22" t="n">
        <x:v>0</x:v>
      </x:c>
      <x:c r="L43" s="22" t="n">
        <x:v>0</x:v>
      </x:c>
      <x:c r="M43" s="22" t="n">
        <x:v>470.56128293241693</x:v>
      </x:c>
      <x:c r="N43" s="22" t="n">
        <x:v>0</x:v>
      </x:c>
      <x:c r="O43" s="22" t="n">
        <x:v>0</x:v>
      </x:c>
      <x:c r="P43" s="22" t="n">
        <x:v>452.46277205040093</x:v>
      </x:c>
      <x:c r="Q43" s="22" t="n">
        <x:v>2819.7479954180985</x:v>
      </x:c>
      <x:c r="R43" s="22" t="n">
        <x:v>2819.75</x:v>
      </x:c>
      <x:c r="S43" s="20" t="n">
        <x:v>46146</x:v>
      </x:c>
      <x:c r="T43" s="22" t="n">
        <x:v>0</x:v>
      </x:c>
      <x:c r="U43" t="str">
        <x:v>Ödendi</x:v>
      </x:c>
    </x:row>
    <x:row r="44">
      <x:c r="A44" s="24" t="n">
        <x:v>46174</x:v>
      </x:c>
      <x:c r="B44" s="24" t="n">
        <x:v>46143</x:v>
      </x:c>
      <x:c r="C44" t="str">
        <x:v>B003-R006</x:v>
      </x:c>
      <x:c r="D44" t="n">
        <x:v>6</x:v>
      </x:c>
      <x:c r="E44" t="str">
        <x:v>Gül Koç</x:v>
      </x:c>
      <x:c r="F44" s="22" t="n">
        <x:v>262.42840778923255</x:v>
      </x:c>
      <x:c r="G44" s="22" t="n">
        <x:v>141.1683848797251</x:v>
      </x:c>
      <x:c r="H44" s="22" t="n">
        <x:v>398.1672394043528</x:v>
      </x:c>
      <x:c r="I44" s="22" t="n">
        <x:v>651.5463917525773</x:v>
      </x:c>
      <x:c r="J44" s="22" t="n">
        <x:v>0</x:v>
      </x:c>
      <x:c r="K44" s="22" t="n">
        <x:v>0</x:v>
      </x:c>
      <x:c r="L44" s="22" t="n">
        <x:v>434.36426116838487</x:v>
      </x:c>
      <x:c r="M44" s="22" t="n">
        <x:v>0</x:v>
      </x:c>
      <x:c r="N44" s="22" t="n">
        <x:v>0</x:v>
      </x:c>
      <x:c r="O44" s="22" t="n">
        <x:v>0</x:v>
      </x:c>
      <x:c r="P44" s="22" t="n">
        <x:v>452.46277205040093</x:v>
      </x:c>
      <x:c r="Q44" s="22" t="n">
        <x:v>2340.1374570446737</x:v>
      </x:c>
      <x:c r="R44" s="22" t="n">
        <x:v>2340.14</x:v>
      </x:c>
      <x:c r="S44" s="20" t="n">
        <x:v>46182</x:v>
      </x:c>
      <x:c r="T44" s="22" t="n">
        <x:v>0</x:v>
      </x:c>
      <x:c r="U44" t="str">
        <x:v>Ödendi</x:v>
      </x:c>
    </x:row>
    <x:row r="45">
      <x:c r="A45" s="24" t="n">
        <x:v>46204</x:v>
      </x:c>
      <x:c r="B45" s="24" t="n">
        <x:v>46174</x:v>
      </x:c>
      <x:c r="C45" t="str">
        <x:v>B003-R006</x:v>
      </x:c>
      <x:c r="D45" t="n">
        <x:v>6</x:v>
      </x:c>
      <x:c r="E45" t="str">
        <x:v>Gül Koç</x:v>
      </x:c>
      <x:c r="F45" s="22" t="n">
        <x:v>280.52691867124855</x:v>
      </x:c>
      <x:c r="G45" s="22" t="n">
        <x:v>148.40778923253148</x:v>
      </x:c>
      <x:c r="H45" s="22" t="n">
        <x:v>398.1672394043528</x:v>
      </x:c>
      <x:c r="I45" s="22" t="n">
        <x:v>0</x:v>
      </x:c>
      <x:c r="J45" s="22" t="n">
        <x:v>0</x:v>
      </x:c>
      <x:c r="K45" s="22" t="n">
        <x:v>0</x:v>
      </x:c>
      <x:c r="L45" s="22" t="n">
        <x:v>463.32187857961054</x:v>
      </x:c>
      <x:c r="M45" s="22" t="n">
        <x:v>0</x:v>
      </x:c>
      <x:c r="N45" s="22" t="n">
        <x:v>0</x:v>
      </x:c>
      <x:c r="O45" s="22" t="n">
        <x:v>2533.791523482245</x:v>
      </x:c>
      <x:c r="P45" s="22" t="n">
        <x:v>452.46277205040093</x:v>
      </x:c>
      <x:c r="Q45" s="22" t="n">
        <x:v>4276.678121420389</x:v>
      </x:c>
      <x:c r="R45" s="22" t="n">
        <x:v>4276.68</x:v>
      </x:c>
      <x:c r="S45" s="20" t="n">
        <x:v>46213</x:v>
      </x:c>
      <x:c r="T45" s="22" t="n">
        <x:v>0</x:v>
      </x:c>
      <x:c r="U45" t="str">
        <x:v>Ödendi</x:v>
      </x:c>
    </x:row>
    <x:row r="46">
      <x:c r="A46" s="24" t="n">
        <x:v>46023</x:v>
      </x:c>
      <x:c r="B46" s="24" t="n">
        <x:v>45992</x:v>
      </x:c>
      <x:c r="C46" t="str">
        <x:v>B003-R007</x:v>
      </x:c>
      <x:c r="D46" t="n">
        <x:v>7</x:v>
      </x:c>
      <x:c r="E46" t="str">
        <x:v>Deniz Eren</x:v>
      </x:c>
      <x:c r="F46" s="22" t="n">
        <x:v>178.96907216494844</x:v>
      </x:c>
      <x:c r="G46" s="22" t="n">
        <x:v>95.25773195876288</x:v>
      </x:c>
      <x:c r="H46" s="22" t="n">
        <x:v>303.0927835051546</x:v>
      </x:c>
      <x:c r="I46" s="22" t="n">
        <x:v>259.7938144329897</x:v>
      </x:c>
      <x:c r="J46" s="22" t="n">
        <x:v>0</x:v>
      </x:c>
      <x:c r="K46" s="22" t="n">
        <x:v>0</x:v>
      </x:c>
      <x:c r="L46" s="22" t="n">
        <x:v>323.29896907216494</x:v>
      </x:c>
      <x:c r="M46" s="22" t="n">
        <x:v>0</x:v>
      </x:c>
      <x:c r="N46" s="22" t="n">
        <x:v>0</x:v>
      </x:c>
      <x:c r="O46" s="22" t="n">
        <x:v>0</x:v>
      </x:c>
      <x:c r="P46" s="22" t="n">
        <x:v>360.8247422680412</x:v>
      </x:c>
      <x:c r="Q46" s="22" t="n">
        <x:v>1521.2371134020618</x:v>
      </x:c>
      <x:c r="R46" s="22" t="n">
        <x:v>1521.24</x:v>
      </x:c>
      <x:c r="S46" s="20" t="n">
        <x:v>46035</x:v>
      </x:c>
      <x:c r="T46" s="22" t="n">
        <x:v>0</x:v>
      </x:c>
      <x:c r="U46" t="str">
        <x:v>Ödendi</x:v>
      </x:c>
    </x:row>
    <x:row r="47">
      <x:c r="A47" s="24" t="n">
        <x:v>46054</x:v>
      </x:c>
      <x:c r="B47" s="24" t="n">
        <x:v>46023</x:v>
      </x:c>
      <x:c r="C47" t="str">
        <x:v>B003-R007</x:v>
      </x:c>
      <x:c r="D47" t="n">
        <x:v>7</x:v>
      </x:c>
      <x:c r="E47" t="str">
        <x:v>Deniz Eren</x:v>
      </x:c>
      <x:c r="F47" s="22" t="n">
        <x:v>190.51546391752575</x:v>
      </x:c>
      <x:c r="G47" s="22" t="n">
        <x:v>98.14432989690721</x:v>
      </x:c>
      <x:c r="H47" s="22" t="n">
        <x:v>303.0927835051546</x:v>
      </x:c>
      <x:c r="I47" s="22" t="n">
        <x:v>0</x:v>
      </x:c>
      <x:c r="J47" s="22" t="n">
        <x:v>461.85567010309273</x:v>
      </x:c>
      <x:c r="K47" s="22" t="n">
        <x:v>0</x:v>
      </x:c>
      <x:c r="L47" s="22" t="n">
        <x:v>323.29896907216494</x:v>
      </x:c>
      <x:c r="M47" s="22" t="n">
        <x:v>0</x:v>
      </x:c>
      <x:c r="N47" s="22" t="n">
        <x:v>0</x:v>
      </x:c>
      <x:c r="O47" s="22" t="n">
        <x:v>0</x:v>
      </x:c>
      <x:c r="P47" s="22" t="n">
        <x:v>360.8247422680412</x:v>
      </x:c>
      <x:c r="Q47" s="22" t="n">
        <x:v>1737.7319587628865</x:v>
      </x:c>
      <x:c r="R47" s="22" t="n">
        <x:v>1737.73</x:v>
      </x:c>
      <x:c r="S47" s="20" t="n">
        <x:v>46062</x:v>
      </x:c>
      <x:c r="T47" s="22" t="n">
        <x:v>0</x:v>
      </x:c>
      <x:c r="U47" t="str">
        <x:v>Ödendi</x:v>
      </x:c>
    </x:row>
    <x:row r="48">
      <x:c r="A48" s="24" t="n">
        <x:v>46082</x:v>
      </x:c>
      <x:c r="B48" s="24" t="n">
        <x:v>46054</x:v>
      </x:c>
      <x:c r="C48" t="str">
        <x:v>B003-R007</x:v>
      </x:c>
      <x:c r="D48" t="n">
        <x:v>7</x:v>
      </x:c>
      <x:c r="E48" t="str">
        <x:v>Deniz Eren</x:v>
      </x:c>
      <x:c r="F48" s="22" t="n">
        <x:v>199.17525773195874</x:v>
      </x:c>
      <x:c r="G48" s="22" t="n">
        <x:v>106.8041237113402</x:v>
      </x:c>
      <x:c r="H48" s="22" t="n">
        <x:v>303.0927835051546</x:v>
      </x:c>
      <x:c r="I48" s="22" t="n">
        <x:v>346.39175257731955</x:v>
      </x:c>
      <x:c r="J48" s="22" t="n">
        <x:v>0</x:v>
      </x:c>
      <x:c r="K48" s="22" t="n">
        <x:v>606.1855670103092</x:v>
      </x:c>
      <x:c r="L48" s="22" t="n">
        <x:v>0</x:v>
      </x:c>
      <x:c r="M48" s="22" t="n">
        <x:v>0</x:v>
      </x:c>
      <x:c r="N48" s="22" t="n">
        <x:v>0</x:v>
      </x:c>
      <x:c r="O48" s="22" t="n">
        <x:v>0</x:v>
      </x:c>
      <x:c r="P48" s="22" t="n">
        <x:v>360.8247422680412</x:v>
      </x:c>
      <x:c r="Q48" s="22" t="n">
        <x:v>1922.4742268041234</x:v>
      </x:c>
      <x:c r="R48" s="22" t="n">
        <x:v>1922.47</x:v>
      </x:c>
      <x:c r="S48" s="20" t="n">
        <x:v>46088</x:v>
      </x:c>
      <x:c r="T48" s="22" t="n">
        <x:v>0</x:v>
      </x:c>
      <x:c r="U48" t="str">
        <x:v>Ödendi</x:v>
      </x:c>
    </x:row>
    <x:row r="49">
      <x:c r="A49" s="24" t="n">
        <x:v>46113</x:v>
      </x:c>
      <x:c r="B49" s="24" t="n">
        <x:v>46082</x:v>
      </x:c>
      <x:c r="C49" t="str">
        <x:v>B003-R007</x:v>
      </x:c>
      <x:c r="D49" t="n">
        <x:v>7</x:v>
      </x:c>
      <x:c r="E49" t="str">
        <x:v>Deniz Eren</x:v>
      </x:c>
      <x:c r="F49" s="22" t="n">
        <x:v>181.85567010309276</x:v>
      </x:c>
      <x:c r="G49" s="22" t="n">
        <x:v>102.4742268041237</x:v>
      </x:c>
      <x:c r="H49" s="22" t="n">
        <x:v>303.0927835051546</x:v>
      </x:c>
      <x:c r="I49" s="22" t="n">
        <x:v>0</x:v>
      </x:c>
      <x:c r="J49" s="22" t="n">
        <x:v>0</x:v>
      </x:c>
      <x:c r="K49" s="22" t="n">
        <x:v>0</x:v>
      </x:c>
      <x:c r="L49" s="22" t="n">
        <x:v>346.39175257731955</x:v>
      </x:c>
      <x:c r="M49" s="22" t="n">
        <x:v>0</x:v>
      </x:c>
      <x:c r="N49" s="22" t="n">
        <x:v>548.4536082474226</x:v>
      </x:c>
      <x:c r="O49" s="22" t="n">
        <x:v>0</x:v>
      </x:c>
      <x:c r="P49" s="22" t="n">
        <x:v>360.8247422680412</x:v>
      </x:c>
      <x:c r="Q49" s="22" t="n">
        <x:v>1843.0927835051543</x:v>
      </x:c>
      <x:c r="R49" s="22" t="n">
        <x:v>1843.09</x:v>
      </x:c>
      <x:c r="S49" s="20" t="n">
        <x:v>46117</x:v>
      </x:c>
      <x:c r="T49" s="22" t="n">
        <x:v>0</x:v>
      </x:c>
      <x:c r="U49" t="str">
        <x:v>Ödendi</x:v>
      </x:c>
    </x:row>
    <x:row r="50">
      <x:c r="A50" s="24" t="n">
        <x:v>46143</x:v>
      </x:c>
      <x:c r="B50" s="24" t="n">
        <x:v>46113</x:v>
      </x:c>
      <x:c r="C50" t="str">
        <x:v>B003-R007</x:v>
      </x:c>
      <x:c r="D50" t="n">
        <x:v>7</x:v>
      </x:c>
      <x:c r="E50" t="str">
        <x:v>Deniz Eren</x:v>
      </x:c>
      <x:c r="F50" s="22" t="n">
        <x:v>194.84536082474224</x:v>
      </x:c>
      <x:c r="G50" s="22" t="n">
        <x:v>105.36082474226804</x:v>
      </x:c>
      <x:c r="H50" s="22" t="n">
        <x:v>317.52577319587624</x:v>
      </x:c>
      <x:c r="I50" s="22" t="n">
        <x:v>0</x:v>
      </x:c>
      <x:c r="J50" s="22" t="n">
        <x:v>894.8453608247422</x:v>
      </x:c>
      <x:c r="K50" s="22" t="n">
        <x:v>0</x:v>
      </x:c>
      <x:c r="L50" s="22" t="n">
        <x:v>0</x:v>
      </x:c>
      <x:c r="M50" s="22" t="n">
        <x:v>375.25773195876286</x:v>
      </x:c>
      <x:c r="N50" s="22" t="n">
        <x:v>0</x:v>
      </x:c>
      <x:c r="O50" s="22" t="n">
        <x:v>0</x:v>
      </x:c>
      <x:c r="P50" s="22" t="n">
        <x:v>360.8247422680412</x:v>
      </x:c>
      <x:c r="Q50" s="22" t="n">
        <x:v>2248.6597938144328</x:v>
      </x:c>
      <x:c r="R50" s="22" t="n">
        <x:v>2248.66</x:v>
      </x:c>
      <x:c r="S50" s="20" t="n">
        <x:v>46152</x:v>
      </x:c>
      <x:c r="T50" s="22" t="n">
        <x:v>0</x:v>
      </x:c>
      <x:c r="U50" t="str">
        <x:v>Ödendi</x:v>
      </x:c>
    </x:row>
    <x:row r="51">
      <x:c r="A51" s="24" t="n">
        <x:v>46174</x:v>
      </x:c>
      <x:c r="B51" s="24" t="n">
        <x:v>46143</x:v>
      </x:c>
      <x:c r="C51" t="str">
        <x:v>B003-R007</x:v>
      </x:c>
      <x:c r="D51" t="n">
        <x:v>7</x:v>
      </x:c>
      <x:c r="E51" t="str">
        <x:v>Deniz Eren</x:v>
      </x:c>
      <x:c r="F51" s="22" t="n">
        <x:v>209.2783505154639</x:v>
      </x:c>
      <x:c r="G51" s="22" t="n">
        <x:v>112.57731958762885</x:v>
      </x:c>
      <x:c r="H51" s="22" t="n">
        <x:v>317.52577319587624</x:v>
      </x:c>
      <x:c r="I51" s="22" t="n">
        <x:v>519.5876288659794</x:v>
      </x:c>
      <x:c r="J51" s="22" t="n">
        <x:v>0</x:v>
      </x:c>
      <x:c r="K51" s="22" t="n">
        <x:v>0</x:v>
      </x:c>
      <x:c r="L51" s="22" t="n">
        <x:v>346.39175257731955</x:v>
      </x:c>
      <x:c r="M51" s="22" t="n">
        <x:v>0</x:v>
      </x:c>
      <x:c r="N51" s="22" t="n">
        <x:v>0</x:v>
      </x:c>
      <x:c r="O51" s="22" t="n">
        <x:v>0</x:v>
      </x:c>
      <x:c r="P51" s="22" t="n">
        <x:v>360.8247422680412</x:v>
      </x:c>
      <x:c r="Q51" s="22" t="n">
        <x:v>1866.1855670103091</x:v>
      </x:c>
      <x:c r="R51" s="22" t="n">
        <x:v>1866.19</x:v>
      </x:c>
      <x:c r="S51" s="20" t="n">
        <x:v>46181</x:v>
      </x:c>
      <x:c r="T51" s="22" t="n">
        <x:v>0</x:v>
      </x:c>
      <x:c r="U51" t="str">
        <x:v>Ödendi</x:v>
      </x:c>
    </x:row>
    <x:row r="52">
      <x:c r="A52" s="24" t="n">
        <x:v>46204</x:v>
      </x:c>
      <x:c r="B52" s="24" t="n">
        <x:v>46174</x:v>
      </x:c>
      <x:c r="C52" t="str">
        <x:v>B003-R007</x:v>
      </x:c>
      <x:c r="D52" t="n">
        <x:v>7</x:v>
      </x:c>
      <x:c r="E52" t="str">
        <x:v>Deniz Eren</x:v>
      </x:c>
      <x:c r="F52" s="22" t="n">
        <x:v>223.71134020618555</x:v>
      </x:c>
      <x:c r="G52" s="22" t="n">
        <x:v>118.35051546391752</x:v>
      </x:c>
      <x:c r="H52" s="22" t="n">
        <x:v>317.52577319587624</x:v>
      </x:c>
      <x:c r="I52" s="22" t="n">
        <x:v>0</x:v>
      </x:c>
      <x:c r="J52" s="22" t="n">
        <x:v>0</x:v>
      </x:c>
      <x:c r="K52" s="22" t="n">
        <x:v>0</x:v>
      </x:c>
      <x:c r="L52" s="22" t="n">
        <x:v>369.48453608247416</x:v>
      </x:c>
      <x:c r="M52" s="22" t="n">
        <x:v>0</x:v>
      </x:c>
      <x:c r="N52" s="22" t="n">
        <x:v>0</x:v>
      </x:c>
      <x:c r="O52" s="22" t="n">
        <x:v>2020.6185567010307</x:v>
      </x:c>
      <x:c r="P52" s="22" t="n">
        <x:v>360.8247422680412</x:v>
      </x:c>
      <x:c r="Q52" s="22" t="n">
        <x:v>3410.5154639175253</x:v>
      </x:c>
      <x:c r="R52" s="22" t="n">
        <x:v>3410.52</x:v>
      </x:c>
      <x:c r="S52" s="20" t="n">
        <x:v>46210</x:v>
      </x:c>
      <x:c r="T52" s="22" t="n">
        <x:v>0</x:v>
      </x:c>
      <x:c r="U52" t="str">
        <x:v>Ödendi</x:v>
      </x:c>
    </x:row>
    <x:row r="53">
      <x:c r="A53" s="24" t="n">
        <x:v>46023</x:v>
      </x:c>
      <x:c r="B53" s="24" t="n">
        <x:v>45992</x:v>
      </x:c>
      <x:c r="C53" t="str">
        <x:v>B003-R008</x:v>
      </x:c>
      <x:c r="D53" t="n">
        <x:v>8</x:v>
      </x:c>
      <x:c r="E53" t="str">
        <x:v>Elif Şahin</x:v>
      </x:c>
      <x:c r="F53" s="22" t="n">
        <x:v>167.60595647193585</x:v>
      </x:c>
      <x:c r="G53" s="22" t="n">
        <x:v>89.20962199312714</x:v>
      </x:c>
      <x:c r="H53" s="22" t="n">
        <x:v>283.8487972508591</x:v>
      </x:c>
      <x:c r="I53" s="22" t="n">
        <x:v>243.29896907216494</x:v>
      </x:c>
      <x:c r="J53" s="22" t="n">
        <x:v>0</x:v>
      </x:c>
      <x:c r="K53" s="22" t="n">
        <x:v>0</x:v>
      </x:c>
      <x:c r="L53" s="22" t="n">
        <x:v>302.7720504009164</x:v>
      </x:c>
      <x:c r="M53" s="22" t="n">
        <x:v>0</x:v>
      </x:c>
      <x:c r="N53" s="22" t="n">
        <x:v>0</x:v>
      </x:c>
      <x:c r="O53" s="22" t="n">
        <x:v>0</x:v>
      </x:c>
      <x:c r="P53" s="22" t="n">
        <x:v>337.9152348224513</x:v>
      </x:c>
      <x:c r="Q53" s="22" t="n">
        <x:v>1424.6506300114547</x:v>
      </x:c>
      <x:c r="R53" s="22" t="n">
        <x:v>1424.65</x:v>
      </x:c>
      <x:c r="S53" s="20" t="n">
        <x:v>46034</x:v>
      </x:c>
      <x:c r="T53" s="22" t="n">
        <x:v>0</x:v>
      </x:c>
      <x:c r="U53" t="str">
        <x:v>Ödendi</x:v>
      </x:c>
    </x:row>
    <x:row r="54">
      <x:c r="A54" s="24" t="n">
        <x:v>46054</x:v>
      </x:c>
      <x:c r="B54" s="24" t="n">
        <x:v>46023</x:v>
      </x:c>
      <x:c r="C54" t="str">
        <x:v>B003-R008</x:v>
      </x:c>
      <x:c r="D54" t="n">
        <x:v>8</x:v>
      </x:c>
      <x:c r="E54" t="str">
        <x:v>Elif Şahin</x:v>
      </x:c>
      <x:c r="F54" s="22" t="n">
        <x:v>178.4192439862543</x:v>
      </x:c>
      <x:c r="G54" s="22" t="n">
        <x:v>91.91294387170676</x:v>
      </x:c>
      <x:c r="H54" s="22" t="n">
        <x:v>283.8487972508591</x:v>
      </x:c>
      <x:c r="I54" s="22" t="n">
        <x:v>0</x:v>
      </x:c>
      <x:c r="J54" s="22" t="n">
        <x:v>432.5315005727377</x:v>
      </x:c>
      <x:c r="K54" s="22" t="n">
        <x:v>0</x:v>
      </x:c>
      <x:c r="L54" s="22" t="n">
        <x:v>302.7720504009164</x:v>
      </x:c>
      <x:c r="M54" s="22" t="n">
        <x:v>0</x:v>
      </x:c>
      <x:c r="N54" s="22" t="n">
        <x:v>0</x:v>
      </x:c>
      <x:c r="O54" s="22" t="n">
        <x:v>0</x:v>
      </x:c>
      <x:c r="P54" s="22" t="n">
        <x:v>337.9152348224513</x:v>
      </x:c>
      <x:c r="Q54" s="22" t="n">
        <x:v>1627.3997709049254</x:v>
      </x:c>
      <x:c r="R54" s="22" t="n">
        <x:v>1627.4</x:v>
      </x:c>
      <x:c r="S54" s="20" t="n">
        <x:v>46058</x:v>
      </x:c>
      <x:c r="T54" s="22" t="n">
        <x:v>0</x:v>
      </x:c>
      <x:c r="U54" t="str">
        <x:v>Ödendi</x:v>
      </x:c>
    </x:row>
    <x:row r="55">
      <x:c r="A55" s="24" t="n">
        <x:v>46082</x:v>
      </x:c>
      <x:c r="B55" s="24" t="n">
        <x:v>46054</x:v>
      </x:c>
      <x:c r="C55" t="str">
        <x:v>B003-R008</x:v>
      </x:c>
      <x:c r="D55" t="n">
        <x:v>8</x:v>
      </x:c>
      <x:c r="E55" t="str">
        <x:v>Elif Şahin</x:v>
      </x:c>
      <x:c r="F55" s="22" t="n">
        <x:v>186.52920962199312</x:v>
      </x:c>
      <x:c r="G55" s="22" t="n">
        <x:v>100.02290950744559</x:v>
      </x:c>
      <x:c r="H55" s="22" t="n">
        <x:v>283.8487972508591</x:v>
      </x:c>
      <x:c r="I55" s="22" t="n">
        <x:v>324.39862542955325</x:v>
      </x:c>
      <x:c r="J55" s="22" t="n">
        <x:v>0</x:v>
      </x:c>
      <x:c r="K55" s="22" t="n">
        <x:v>567.6975945017182</x:v>
      </x:c>
      <x:c r="L55" s="22" t="n">
        <x:v>0</x:v>
      </x:c>
      <x:c r="M55" s="22" t="n">
        <x:v>0</x:v>
      </x:c>
      <x:c r="N55" s="22" t="n">
        <x:v>0</x:v>
      </x:c>
      <x:c r="O55" s="22" t="n">
        <x:v>0</x:v>
      </x:c>
      <x:c r="P55" s="22" t="n">
        <x:v>337.9152348224513</x:v>
      </x:c>
      <x:c r="Q55" s="22" t="n">
        <x:v>1800.4123711340205</x:v>
      </x:c>
      <x:c r="R55" s="22" t="n">
        <x:v>0</x:v>
      </x:c>
      <x:c r="S55" s="20"/>
      <x:c r="T55" s="22" t="n">
        <x:v>1800.41</x:v>
      </x:c>
      <x:c r="U55" t="str">
        <x:v>Ödenmedi</x:v>
      </x:c>
    </x:row>
    <x:row r="56">
      <x:c r="A56" s="24" t="n">
        <x:v>46113</x:v>
      </x:c>
      <x:c r="B56" s="24" t="n">
        <x:v>46082</x:v>
      </x:c>
      <x:c r="C56" t="str">
        <x:v>B003-R008</x:v>
      </x:c>
      <x:c r="D56" t="n">
        <x:v>8</x:v>
      </x:c>
      <x:c r="E56" t="str">
        <x:v>Elif Şahin</x:v>
      </x:c>
      <x:c r="F56" s="22" t="n">
        <x:v>170.30927835051546</x:v>
      </x:c>
      <x:c r="G56" s="22" t="n">
        <x:v>95.96792668957617</x:v>
      </x:c>
      <x:c r="H56" s="22" t="n">
        <x:v>283.8487972508591</x:v>
      </x:c>
      <x:c r="I56" s="22" t="n">
        <x:v>0</x:v>
      </x:c>
      <x:c r="J56" s="22" t="n">
        <x:v>0</x:v>
      </x:c>
      <x:c r="K56" s="22" t="n">
        <x:v>0</x:v>
      </x:c>
      <x:c r="L56" s="22" t="n">
        <x:v>324.39862542955325</x:v>
      </x:c>
      <x:c r="M56" s="22" t="n">
        <x:v>0</x:v>
      </x:c>
      <x:c r="N56" s="22" t="n">
        <x:v>513.6311569301259</x:v>
      </x:c>
      <x:c r="O56" s="22" t="n">
        <x:v>0</x:v>
      </x:c>
      <x:c r="P56" s="22" t="n">
        <x:v>337.9152348224513</x:v>
      </x:c>
      <x:c r="Q56" s="22" t="n">
        <x:v>1726.0710194730812</x:v>
      </x:c>
      <x:c r="R56" s="22" t="n">
        <x:v>1726.07</x:v>
      </x:c>
      <x:c r="S56" s="20" t="n">
        <x:v>46120</x:v>
      </x:c>
      <x:c r="T56" s="22" t="n">
        <x:v>0</x:v>
      </x:c>
      <x:c r="U56" t="str">
        <x:v>Ödendi</x:v>
      </x:c>
    </x:row>
    <x:row r="57">
      <x:c r="A57" s="24" t="n">
        <x:v>46143</x:v>
      </x:c>
      <x:c r="B57" s="24" t="n">
        <x:v>46113</x:v>
      </x:c>
      <x:c r="C57" t="str">
        <x:v>B003-R008</x:v>
      </x:c>
      <x:c r="D57" t="n">
        <x:v>8</x:v>
      </x:c>
      <x:c r="E57" t="str">
        <x:v>Elif Şahin</x:v>
      </x:c>
      <x:c r="F57" s="22" t="n">
        <x:v>182.4742268041237</x:v>
      </x:c>
      <x:c r="G57" s="22" t="n">
        <x:v>98.67124856815578</x:v>
      </x:c>
      <x:c r="H57" s="22" t="n">
        <x:v>297.3654066437571</x:v>
      </x:c>
      <x:c r="I57" s="22" t="n">
        <x:v>0</x:v>
      </x:c>
      <x:c r="J57" s="22" t="n">
        <x:v>838.0297823596792</x:v>
      </x:c>
      <x:c r="K57" s="22" t="n">
        <x:v>0</x:v>
      </x:c>
      <x:c r="L57" s="22" t="n">
        <x:v>0</x:v>
      </x:c>
      <x:c r="M57" s="22" t="n">
        <x:v>351.4318442153494</x:v>
      </x:c>
      <x:c r="N57" s="22" t="n">
        <x:v>0</x:v>
      </x:c>
      <x:c r="O57" s="22" t="n">
        <x:v>0</x:v>
      </x:c>
      <x:c r="P57" s="22" t="n">
        <x:v>337.9152348224513</x:v>
      </x:c>
      <x:c r="Q57" s="22" t="n">
        <x:v>2105.8877434135165</x:v>
      </x:c>
      <x:c r="R57" s="22" t="n">
        <x:v>1052.94</x:v>
      </x:c>
      <x:c r="S57" s="20" t="n">
        <x:v>46157</x:v>
      </x:c>
      <x:c r="T57" s="22" t="n">
        <x:v>1052.95</x:v>
      </x:c>
      <x:c r="U57" t="str">
        <x:v>Kısmi Ödeme</x:v>
      </x:c>
    </x:row>
    <x:row r="58">
      <x:c r="A58" s="24" t="n">
        <x:v>46174</x:v>
      </x:c>
      <x:c r="B58" s="24" t="n">
        <x:v>46143</x:v>
      </x:c>
      <x:c r="C58" t="str">
        <x:v>B003-R008</x:v>
      </x:c>
      <x:c r="D58" t="n">
        <x:v>8</x:v>
      </x:c>
      <x:c r="E58" t="str">
        <x:v>Elif Şahin</x:v>
      </x:c>
      <x:c r="F58" s="22" t="n">
        <x:v>195.99083619702176</x:v>
      </x:c>
      <x:c r="G58" s="22" t="n">
        <x:v>105.4295532646048</x:v>
      </x:c>
      <x:c r="H58" s="22" t="n">
        <x:v>297.3654066437571</x:v>
      </x:c>
      <x:c r="I58" s="22" t="n">
        <x:v>486.5979381443299</x:v>
      </x:c>
      <x:c r="J58" s="22" t="n">
        <x:v>0</x:v>
      </x:c>
      <x:c r="K58" s="22" t="n">
        <x:v>0</x:v>
      </x:c>
      <x:c r="L58" s="22" t="n">
        <x:v>324.39862542955325</x:v>
      </x:c>
      <x:c r="M58" s="22" t="n">
        <x:v>0</x:v>
      </x:c>
      <x:c r="N58" s="22" t="n">
        <x:v>0</x:v>
      </x:c>
      <x:c r="O58" s="22" t="n">
        <x:v>0</x:v>
      </x:c>
      <x:c r="P58" s="22" t="n">
        <x:v>337.9152348224513</x:v>
      </x:c>
      <x:c r="Q58" s="22" t="n">
        <x:v>1747.6975945017182</x:v>
      </x:c>
      <x:c r="R58" s="22" t="n">
        <x:v>1747.7</x:v>
      </x:c>
      <x:c r="S58" s="20" t="n">
        <x:v>46184</x:v>
      </x:c>
      <x:c r="T58" s="22" t="n">
        <x:v>0</x:v>
      </x:c>
      <x:c r="U58" t="str">
        <x:v>Ödendi</x:v>
      </x:c>
    </x:row>
    <x:row r="59">
      <x:c r="A59" s="24" t="n">
        <x:v>46204</x:v>
      </x:c>
      <x:c r="B59" s="24" t="n">
        <x:v>46174</x:v>
      </x:c>
      <x:c r="C59" t="str">
        <x:v>B003-R008</x:v>
      </x:c>
      <x:c r="D59" t="n">
        <x:v>8</x:v>
      </x:c>
      <x:c r="E59" t="str">
        <x:v>Elif Şahin</x:v>
      </x:c>
      <x:c r="F59" s="22" t="n">
        <x:v>209.5074455899198</x:v>
      </x:c>
      <x:c r="G59" s="22" t="n">
        <x:v>110.83619702176402</x:v>
      </x:c>
      <x:c r="H59" s="22" t="n">
        <x:v>297.3654066437571</x:v>
      </x:c>
      <x:c r="I59" s="22" t="n">
        <x:v>0</x:v>
      </x:c>
      <x:c r="J59" s="22" t="n">
        <x:v>0</x:v>
      </x:c>
      <x:c r="K59" s="22" t="n">
        <x:v>0</x:v>
      </x:c>
      <x:c r="L59" s="22" t="n">
        <x:v>346.0252004581901</x:v>
      </x:c>
      <x:c r="M59" s="22" t="n">
        <x:v>0</x:v>
      </x:c>
      <x:c r="N59" s="22" t="n">
        <x:v>0</x:v>
      </x:c>
      <x:c r="O59" s="22" t="n">
        <x:v>1892.3253150057274</x:v>
      </x:c>
      <x:c r="P59" s="22" t="n">
        <x:v>337.9152348224513</x:v>
      </x:c>
      <x:c r="Q59" s="22" t="n">
        <x:v>3193.9747995418097</x:v>
      </x:c>
      <x:c r="R59" s="22" t="n">
        <x:v>3193.97</x:v>
      </x:c>
      <x:c r="S59" s="20" t="n">
        <x:v>46215</x:v>
      </x:c>
      <x:c r="T59" s="22" t="n">
        <x:v>0</x:v>
      </x:c>
      <x:c r="U59" t="str">
        <x:v>Ödendi</x:v>
      </x:c>
    </x:row>
  </x:sheetData>
  <x:mergeCells>
    <x:mergeCell ref="A1:U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Ihlamur Apartmanı — Banka Hesap Hareketleri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Tarih</x:v>
      </x:c>
      <x:c r="B3" s="10" t="str">
        <x:v>Açıklama</x:v>
      </x:c>
      <x:c r="C3" s="10" t="str">
        <x:v>Tip</x:v>
      </x:c>
      <x:c r="D3" s="10" t="str">
        <x:v>Giriş</x:v>
      </x:c>
      <x:c r="E3" s="10" t="str">
        <x:v>Çıkış</x:v>
      </x:c>
      <x:c r="F3" s="10" t="str">
        <x:v>Bakiye</x:v>
      </x:c>
      <x:c r="G3" s="10" t="str">
        <x:v>Kategori</x:v>
      </x:c>
      <x:c r="H3" s="10" t="str">
        <x:v>Referans</x:v>
      </x:c>
    </x:row>
    <x:row r="4">
      <x:c r="A4" s="20" t="n">
        <x:v>46027</x:v>
      </x:c>
      <x:c r="B4" t="str">
        <x:v>Daire 1 - Kerem Yılmaz 01/2026 aidat</x:v>
      </x:c>
      <x:c r="C4" t="str">
        <x:v>Giriş</x:v>
      </x:c>
      <x:c r="D4" s="22" t="n">
        <x:v>1086.6</x:v>
      </x:c>
      <x:c r="E4" s="22" t="n">
        <x:v>0</x:v>
      </x:c>
      <x:c r="F4" s="22" t="n">
        <x:v>25586.6</x:v>
      </x:c>
      <x:c r="G4" t="str">
        <x:v>Aidat</x:v>
      </x:c>
      <x:c r="H4" t="str">
        <x:v>B003-R001-01</x:v>
      </x:c>
    </x:row>
    <x:row r="5">
      <x:c r="A5" s="20" t="n">
        <x:v>46027</x:v>
      </x:c>
      <x:c r="B5" t="str">
        <x:v>Daire 2 - Deniz Yıldız 01/2026 aidat</x:v>
      </x:c>
      <x:c r="C5" t="str">
        <x:v>Giriş</x:v>
      </x:c>
      <x:c r="D5" s="22" t="n">
        <x:v>1086.6</x:v>
      </x:c>
      <x:c r="E5" s="22" t="n">
        <x:v>0</x:v>
      </x:c>
      <x:c r="F5" s="22" t="n">
        <x:v>26673.199999999997</x:v>
      </x:c>
      <x:c r="G5" t="str">
        <x:v>Aidat</x:v>
      </x:c>
      <x:c r="H5" t="str">
        <x:v>B003-R002-01</x:v>
      </x:c>
    </x:row>
    <x:row r="6">
      <x:c r="A6" s="20" t="n">
        <x:v>46027</x:v>
      </x:c>
      <x:c r="B6" t="str">
        <x:v>Daire 3 - Nihan Şahin 01/2026 aidat</x:v>
      </x:c>
      <x:c r="C6" t="str">
        <x:v>Giriş</x:v>
      </x:c>
      <x:c r="D6" s="22" t="n">
        <x:v>1267.7</x:v>
      </x:c>
      <x:c r="E6" s="22" t="n">
        <x:v>0</x:v>
      </x:c>
      <x:c r="F6" s="22" t="n">
        <x:v>27940.899999999998</x:v>
      </x:c>
      <x:c r="G6" t="str">
        <x:v>Aidat</x:v>
      </x:c>
      <x:c r="H6" t="str">
        <x:v>B003-R003-01</x:v>
      </x:c>
    </x:row>
    <x:row r="7">
      <x:c r="A7" s="20" t="n">
        <x:v>46027</x:v>
      </x:c>
      <x:c r="B7" t="str">
        <x:v>Ocak ortak alan elektrik</x:v>
      </x:c>
      <x:c r="C7" t="str">
        <x:v>Çıkış</x:v>
      </x:c>
      <x:c r="D7" s="22" t="n">
        <x:v>0</x:v>
      </x:c>
      <x:c r="E7" s="22" t="n">
        <x:v>1320</x:v>
      </x:c>
      <x:c r="F7" s="22" t="n">
        <x:v>26620.899999999998</x:v>
      </x:c>
      <x:c r="G7" t="str">
        <x:v>Ortak Alan Elektrik</x:v>
      </x:c>
      <x:c r="H7" t="str">
        <x:v>B003-G0007</x:v>
      </x:c>
    </x:row>
    <x:row r="8">
      <x:c r="A8" s="20" t="n">
        <x:v>46029</x:v>
      </x:c>
      <x:c r="B8" t="str">
        <x:v>Daire 5 - Murat Aksoy 01/2026 aidat</x:v>
      </x:c>
      <x:c r="C8" t="str">
        <x:v>Giriş</x:v>
      </x:c>
      <x:c r="D8" s="22" t="n">
        <x:v>1086.6</x:v>
      </x:c>
      <x:c r="E8" s="22" t="n">
        <x:v>0</x:v>
      </x:c>
      <x:c r="F8" s="22" t="n">
        <x:v>27707.499999999996</x:v>
      </x:c>
      <x:c r="G8" t="str">
        <x:v>Aidat</x:v>
      </x:c>
      <x:c r="H8" t="str">
        <x:v>B003-R005-01</x:v>
      </x:c>
    </x:row>
    <x:row r="9">
      <x:c r="A9" s="20" t="n">
        <x:v>46031</x:v>
      </x:c>
      <x:c r="B9" t="str">
        <x:v>Ocak ortak alan su</x:v>
      </x:c>
      <x:c r="C9" t="str">
        <x:v>Çıkış</x:v>
      </x:c>
      <x:c r="D9" s="22" t="n">
        <x:v>0</x:v>
      </x:c>
      <x:c r="E9" s="22" t="n">
        <x:v>680</x:v>
      </x:c>
      <x:c r="F9" s="22" t="n">
        <x:v>27027.499999999996</x:v>
      </x:c>
      <x:c r="G9" t="str">
        <x:v>Ortak Alan Su</x:v>
      </x:c>
      <x:c r="H9" t="str">
        <x:v>B003-G0008</x:v>
      </x:c>
    </x:row>
    <x:row r="10">
      <x:c r="A10" s="20" t="n">
        <x:v>46034</x:v>
      </x:c>
      <x:c r="B10" t="str">
        <x:v>Daire 8 - Elif Şahin 01/2026 aidat</x:v>
      </x:c>
      <x:c r="C10" t="str">
        <x:v>Giriş</x:v>
      </x:c>
      <x:c r="D10" s="22" t="n">
        <x:v>1424.65</x:v>
      </x:c>
      <x:c r="E10" s="22" t="n">
        <x:v>0</x:v>
      </x:c>
      <x:c r="F10" s="22" t="n">
        <x:v>28452.149999999998</x:v>
      </x:c>
      <x:c r="G10" t="str">
        <x:v>Aidat</x:v>
      </x:c>
      <x:c r="H10" t="str">
        <x:v>B003-R008-01</x:v>
      </x:c>
    </x:row>
    <x:row r="11">
      <x:c r="A11" s="20" t="n">
        <x:v>46035</x:v>
      </x:c>
      <x:c r="B11" t="str">
        <x:v>Daire 4 - Deniz Karaca 01/2026 aidat</x:v>
      </x:c>
      <x:c r="C11" t="str">
        <x:v>Giriş</x:v>
      </x:c>
      <x:c r="D11" s="22" t="n">
        <x:v>1159.04</x:v>
      </x:c>
      <x:c r="E11" s="22" t="n">
        <x:v>0</x:v>
      </x:c>
      <x:c r="F11" s="22" t="n">
        <x:v>29611.19</x:v>
      </x:c>
      <x:c r="G11" t="str">
        <x:v>Aidat</x:v>
      </x:c>
      <x:c r="H11" t="str">
        <x:v>B003-R004-01</x:v>
      </x:c>
    </x:row>
    <x:row r="12">
      <x:c r="A12" s="20" t="n">
        <x:v>46035</x:v>
      </x:c>
      <x:c r="B12" t="str">
        <x:v>Daire 6 - Gül Koç 01/2026 aidat</x:v>
      </x:c>
      <x:c r="C12" t="str">
        <x:v>Giriş</x:v>
      </x:c>
      <x:c r="D12" s="22" t="n">
        <x:v>1907.58</x:v>
      </x:c>
      <x:c r="E12" s="22" t="n">
        <x:v>0</x:v>
      </x:c>
      <x:c r="F12" s="22" t="n">
        <x:v>31518.769999999997</x:v>
      </x:c>
      <x:c r="G12" t="str">
        <x:v>Aidat</x:v>
      </x:c>
      <x:c r="H12" t="str">
        <x:v>B003-R006-01</x:v>
      </x:c>
    </x:row>
    <x:row r="13">
      <x:c r="A13" s="20" t="n">
        <x:v>46035</x:v>
      </x:c>
      <x:c r="B13" t="str">
        <x:v>Daire 7 - Deniz Eren 01/2026 aidat</x:v>
      </x:c>
      <x:c r="C13" t="str">
        <x:v>Giriş</x:v>
      </x:c>
      <x:c r="D13" s="22" t="n">
        <x:v>1521.24</x:v>
      </x:c>
      <x:c r="E13" s="22" t="n">
        <x:v>0</x:v>
      </x:c>
      <x:c r="F13" s="22" t="n">
        <x:v>33040.009999999995</x:v>
      </x:c>
      <x:c r="G13" t="str">
        <x:v>Aidat</x:v>
      </x:c>
      <x:c r="H13" t="str">
        <x:v>B003-R007-01</x:v>
      </x:c>
    </x:row>
    <x:row r="14">
      <x:c r="A14" s="20" t="n">
        <x:v>46035</x:v>
      </x:c>
      <x:c r="B14" t="str">
        <x:v>Aylık asansör bakımı</x:v>
      </x:c>
      <x:c r="C14" t="str">
        <x:v>Çıkış</x:v>
      </x:c>
      <x:c r="D14" s="22" t="n">
        <x:v>0</x:v>
      </x:c>
      <x:c r="E14" s="22" t="n">
        <x:v>2100</x:v>
      </x:c>
      <x:c r="F14" s="22" t="n">
        <x:v>30940.009999999995</x:v>
      </x:c>
      <x:c r="G14" t="str">
        <x:v>Asansör Bakımı</x:v>
      </x:c>
      <x:c r="H14" t="str">
        <x:v>B003-G0009</x:v>
      </x:c>
    </x:row>
    <x:row r="15">
      <x:c r="A15" s="20" t="n">
        <x:v>46039</x:v>
      </x:c>
      <x:c r="B15" t="str">
        <x:v>Hidrofor bakım ve ayar</x:v>
      </x:c>
      <x:c r="C15" t="str">
        <x:v>Çıkış</x:v>
      </x:c>
      <x:c r="D15" s="22" t="n">
        <x:v>0</x:v>
      </x:c>
      <x:c r="E15" s="22" t="n">
        <x:v>3200</x:v>
      </x:c>
      <x:c r="F15" s="22" t="n">
        <x:v>27740.009999999995</x:v>
      </x:c>
      <x:c r="G15" t="str">
        <x:v>Hidrofor Bakımı</x:v>
      </x:c>
      <x:c r="H15" t="str">
        <x:v>B003-G0010</x:v>
      </x:c>
    </x:row>
    <x:row r="16">
      <x:c r="A16" s="20" t="n">
        <x:v>46047</x:v>
      </x:c>
      <x:c r="B16" t="str">
        <x:v>Yönetim hizmet bedeli</x:v>
      </x:c>
      <x:c r="C16" t="str">
        <x:v>Çıkış</x:v>
      </x:c>
      <x:c r="D16" s="22" t="n">
        <x:v>0</x:v>
      </x:c>
      <x:c r="E16" s="22" t="n">
        <x:v>2500</x:v>
      </x:c>
      <x:c r="F16" s="22" t="n">
        <x:v>25240.009999999995</x:v>
      </x:c>
      <x:c r="G16" t="str">
        <x:v>Yönetim Hizmeti</x:v>
      </x:c>
      <x:c r="H16" t="str">
        <x:v>B003-G0012</x:v>
      </x:c>
    </x:row>
    <x:row r="17">
      <x:c r="A17" s="20" t="n">
        <x:v>46058</x:v>
      </x:c>
      <x:c r="B17" t="str">
        <x:v>Daire 4 - Deniz Karaca 02/2026 aidat</x:v>
      </x:c>
      <x:c r="C17" t="str">
        <x:v>Giriş</x:v>
      </x:c>
      <x:c r="D17" s="22" t="n">
        <x:v>1323.99</x:v>
      </x:c>
      <x:c r="E17" s="22" t="n">
        <x:v>0</x:v>
      </x:c>
      <x:c r="F17" s="22" t="n">
        <x:v>26563.999999999996</x:v>
      </x:c>
      <x:c r="G17" t="str">
        <x:v>Aidat</x:v>
      </x:c>
      <x:c r="H17" t="str">
        <x:v>B003-R004-02</x:v>
      </x:c>
    </x:row>
    <x:row r="18">
      <x:c r="A18" s="20" t="n">
        <x:v>46058</x:v>
      </x:c>
      <x:c r="B18" t="str">
        <x:v>Daire 5 - Murat Aksoy 02/2026 aidat</x:v>
      </x:c>
      <x:c r="C18" t="str">
        <x:v>Giriş</x:v>
      </x:c>
      <x:c r="D18" s="22" t="n">
        <x:v>1241.24</x:v>
      </x:c>
      <x:c r="E18" s="22" t="n">
        <x:v>0</x:v>
      </x:c>
      <x:c r="F18" s="22" t="n">
        <x:v>27805.239999999998</x:v>
      </x:c>
      <x:c r="G18" t="str">
        <x:v>Aidat</x:v>
      </x:c>
      <x:c r="H18" t="str">
        <x:v>B003-R005-02</x:v>
      </x:c>
    </x:row>
    <x:row r="19">
      <x:c r="A19" s="20" t="n">
        <x:v>46058</x:v>
      </x:c>
      <x:c r="B19" t="str">
        <x:v>Daire 8 - Elif Şahin 02/2026 aidat</x:v>
      </x:c>
      <x:c r="C19" t="str">
        <x:v>Giriş</x:v>
      </x:c>
      <x:c r="D19" s="22" t="n">
        <x:v>1627.4</x:v>
      </x:c>
      <x:c r="E19" s="22" t="n">
        <x:v>0</x:v>
      </x:c>
      <x:c r="F19" s="22" t="n">
        <x:v>29432.64</x:v>
      </x:c>
      <x:c r="G19" t="str">
        <x:v>Aidat</x:v>
      </x:c>
      <x:c r="H19" t="str">
        <x:v>B003-R008-02</x:v>
      </x:c>
    </x:row>
    <x:row r="20">
      <x:c r="A20" s="20" t="n">
        <x:v>46058</x:v>
      </x:c>
      <x:c r="B20" t="str">
        <x:v>Şubat ortak alan elektrik</x:v>
      </x:c>
      <x:c r="C20" t="str">
        <x:v>Çıkış</x:v>
      </x:c>
      <x:c r="D20" s="22" t="n">
        <x:v>0</x:v>
      </x:c>
      <x:c r="E20" s="22" t="n">
        <x:v>1380</x:v>
      </x:c>
      <x:c r="F20" s="22" t="n">
        <x:v>28052.64</x:v>
      </x:c>
      <x:c r="G20" t="str">
        <x:v>Ortak Alan Elektrik</x:v>
      </x:c>
      <x:c r="H20" t="str">
        <x:v>B003-G0013</x:v>
      </x:c>
    </x:row>
    <x:row r="21">
      <x:c r="A21" s="20" t="n">
        <x:v>46059</x:v>
      </x:c>
      <x:c r="B21" t="str">
        <x:v>Daire 2 - Deniz Yıldız 02/2026 aidat</x:v>
      </x:c>
      <x:c r="C21" t="str">
        <x:v>Giriş</x:v>
      </x:c>
      <x:c r="D21" s="22" t="n">
        <x:v>1241.24</x:v>
      </x:c>
      <x:c r="E21" s="22" t="n">
        <x:v>0</x:v>
      </x:c>
      <x:c r="F21" s="22" t="n">
        <x:v>29293.88</x:v>
      </x:c>
      <x:c r="G21" t="str">
        <x:v>Aidat</x:v>
      </x:c>
      <x:c r="H21" t="str">
        <x:v>B003-R002-02</x:v>
      </x:c>
    </x:row>
    <x:row r="22">
      <x:c r="A22" s="20" t="n">
        <x:v>46059</x:v>
      </x:c>
      <x:c r="B22" t="str">
        <x:v>Daire 3 - Nihan Şahin 02/2026 aidat</x:v>
      </x:c>
      <x:c r="C22" t="str">
        <x:v>Giriş</x:v>
      </x:c>
      <x:c r="D22" s="22" t="n">
        <x:v>1448.11</x:v>
      </x:c>
      <x:c r="E22" s="22" t="n">
        <x:v>0</x:v>
      </x:c>
      <x:c r="F22" s="22" t="n">
        <x:v>30741.99</x:v>
      </x:c>
      <x:c r="G22" t="str">
        <x:v>Aidat</x:v>
      </x:c>
      <x:c r="H22" t="str">
        <x:v>B003-R003-02</x:v>
      </x:c>
    </x:row>
    <x:row r="23">
      <x:c r="A23" s="20" t="n">
        <x:v>46062</x:v>
      </x:c>
      <x:c r="B23" t="str">
        <x:v>Daire 7 - Deniz Eren 02/2026 aidat</x:v>
      </x:c>
      <x:c r="C23" t="str">
        <x:v>Giriş</x:v>
      </x:c>
      <x:c r="D23" s="22" t="n">
        <x:v>1737.73</x:v>
      </x:c>
      <x:c r="E23" s="22" t="n">
        <x:v>0</x:v>
      </x:c>
      <x:c r="F23" s="22" t="n">
        <x:v>32479.72</x:v>
      </x:c>
      <x:c r="G23" t="str">
        <x:v>Aidat</x:v>
      </x:c>
      <x:c r="H23" t="str">
        <x:v>B003-R007-02</x:v>
      </x:c>
    </x:row>
    <x:row r="24">
      <x:c r="A24" s="20" t="n">
        <x:v>46062</x:v>
      </x:c>
      <x:c r="B24" t="str">
        <x:v>Şubat ortak alan su</x:v>
      </x:c>
      <x:c r="C24" t="str">
        <x:v>Çıkış</x:v>
      </x:c>
      <x:c r="D24" s="22" t="n">
        <x:v>0</x:v>
      </x:c>
      <x:c r="E24" s="22" t="n">
        <x:v>740</x:v>
      </x:c>
      <x:c r="F24" s="22" t="n">
        <x:v>31739.72</x:v>
      </x:c>
      <x:c r="G24" t="str">
        <x:v>Ortak Alan Su</x:v>
      </x:c>
      <x:c r="H24" t="str">
        <x:v>B003-G0014</x:v>
      </x:c>
    </x:row>
    <x:row r="25">
      <x:c r="A25" s="20" t="n">
        <x:v>46065</x:v>
      </x:c>
      <x:c r="B25" t="str">
        <x:v>Daire 1 - Kerem Yılmaz 02/2026 aidat</x:v>
      </x:c>
      <x:c r="C25" t="str">
        <x:v>Giriş</x:v>
      </x:c>
      <x:c r="D25" s="22" t="n">
        <x:v>1241.24</x:v>
      </x:c>
      <x:c r="E25" s="22" t="n">
        <x:v>0</x:v>
      </x:c>
      <x:c r="F25" s="22" t="n">
        <x:v>32980.96</x:v>
      </x:c>
      <x:c r="G25" t="str">
        <x:v>Aidat</x:v>
      </x:c>
      <x:c r="H25" t="str">
        <x:v>B003-R001-02</x:v>
      </x:c>
    </x:row>
    <x:row r="26">
      <x:c r="A26" s="20" t="n">
        <x:v>46065</x:v>
      </x:c>
      <x:c r="B26" t="str">
        <x:v>Daire 6 - Gül Koç 02/2026 aidat</x:v>
      </x:c>
      <x:c r="C26" t="str">
        <x:v>Giriş</x:v>
      </x:c>
      <x:c r="D26" s="22" t="n">
        <x:v>2179.06</x:v>
      </x:c>
      <x:c r="E26" s="22" t="n">
        <x:v>0</x:v>
      </x:c>
      <x:c r="F26" s="22" t="n">
        <x:v>35160.02</x:v>
      </x:c>
      <x:c r="G26" t="str">
        <x:v>Aidat</x:v>
      </x:c>
      <x:c r="H26" t="str">
        <x:v>B003-R006-02</x:v>
      </x:c>
    </x:row>
    <x:row r="27">
      <x:c r="A27" s="20" t="n">
        <x:v>46066</x:v>
      </x:c>
      <x:c r="B27" t="str">
        <x:v>Aylık asansör bakımı</x:v>
      </x:c>
      <x:c r="C27" t="str">
        <x:v>Çıkış</x:v>
      </x:c>
      <x:c r="D27" s="22" t="n">
        <x:v>0</x:v>
      </x:c>
      <x:c r="E27" s="22" t="n">
        <x:v>2100</x:v>
      </x:c>
      <x:c r="F27" s="22" t="n">
        <x:v>33060.02</x:v>
      </x:c>
      <x:c r="G27" t="str">
        <x:v>Asansör Bakımı</x:v>
      </x:c>
      <x:c r="H27" t="str">
        <x:v>B003-G0015</x:v>
      </x:c>
    </x:row>
    <x:row r="28">
      <x:c r="A28" s="20" t="n">
        <x:v>46070</x:v>
      </x:c>
      <x:c r="B28" t="str">
        <x:v>Jeneratör akü ve filtre kontrolü</x:v>
      </x:c>
      <x:c r="C28" t="str">
        <x:v>Çıkış</x:v>
      </x:c>
      <x:c r="D28" s="22" t="n">
        <x:v>0</x:v>
      </x:c>
      <x:c r="E28" s="22" t="n">
        <x:v>2400</x:v>
      </x:c>
      <x:c r="F28" s="22" t="n">
        <x:v>30660.019999999997</x:v>
      </x:c>
      <x:c r="G28" t="str">
        <x:v>Jeneratör Bakımı</x:v>
      </x:c>
      <x:c r="H28" t="str">
        <x:v>B003-G0016</x:v>
      </x:c>
    </x:row>
    <x:row r="29">
      <x:c r="A29" s="20" t="n">
        <x:v>46074</x:v>
      </x:c>
      <x:c r="B29" t="str">
        <x:v>Yangın tüpü kontrol ve dolumu</x:v>
      </x:c>
      <x:c r="C29" t="str">
        <x:v>Çıkış</x:v>
      </x:c>
      <x:c r="D29" s="22" t="n">
        <x:v>0</x:v>
      </x:c>
      <x:c r="E29" s="22" t="n">
        <x:v>4200</x:v>
      </x:c>
      <x:c r="F29" s="22" t="n">
        <x:v>26460.019999999997</x:v>
      </x:c>
      <x:c r="G29" t="str">
        <x:v>Yangın Sistemleri</x:v>
      </x:c>
      <x:c r="H29" t="str">
        <x:v>B003-G0017</x:v>
      </x:c>
    </x:row>
    <x:row r="30">
      <x:c r="A30" s="20" t="n">
        <x:v>46078</x:v>
      </x:c>
      <x:c r="B30" t="str">
        <x:v>Yönetim hizmet bedeli</x:v>
      </x:c>
      <x:c r="C30" t="str">
        <x:v>Çıkış</x:v>
      </x:c>
      <x:c r="D30" s="22" t="n">
        <x:v>0</x:v>
      </x:c>
      <x:c r="E30" s="22" t="n">
        <x:v>2500</x:v>
      </x:c>
      <x:c r="F30" s="22" t="n">
        <x:v>23960.019999999997</x:v>
      </x:c>
      <x:c r="G30" t="str">
        <x:v>Yönetim Hizmeti</x:v>
      </x:c>
      <x:c r="H30" t="str">
        <x:v>B003-G0018</x:v>
      </x:c>
    </x:row>
    <x:row r="31">
      <x:c r="A31" s="20" t="n">
        <x:v>46085</x:v>
      </x:c>
      <x:c r="B31" t="str">
        <x:v>Daire 3 - Nihan Şahin 03/2026 aidat</x:v>
      </x:c>
      <x:c r="C31" t="str">
        <x:v>Giriş</x:v>
      </x:c>
      <x:c r="D31" s="22" t="n">
        <x:v>1602.06</x:v>
      </x:c>
      <x:c r="E31" s="22" t="n">
        <x:v>0</x:v>
      </x:c>
      <x:c r="F31" s="22" t="n">
        <x:v>25562.079999999998</x:v>
      </x:c>
      <x:c r="G31" t="str">
        <x:v>Aidat</x:v>
      </x:c>
      <x:c r="H31" t="str">
        <x:v>B003-R003-03</x:v>
      </x:c>
    </x:row>
    <x:row r="32">
      <x:c r="A32" s="20" t="n">
        <x:v>46086</x:v>
      </x:c>
      <x:c r="B32" t="str">
        <x:v>Mart ortak alan elektrik</x:v>
      </x:c>
      <x:c r="C32" t="str">
        <x:v>Çıkış</x:v>
      </x:c>
      <x:c r="D32" s="22" t="n">
        <x:v>0</x:v>
      </x:c>
      <x:c r="E32" s="22" t="n">
        <x:v>1260</x:v>
      </x:c>
      <x:c r="F32" s="22" t="n">
        <x:v>24302.079999999998</x:v>
      </x:c>
      <x:c r="G32" t="str">
        <x:v>Ortak Alan Elektrik</x:v>
      </x:c>
      <x:c r="H32" t="str">
        <x:v>B003-G0019</x:v>
      </x:c>
    </x:row>
    <x:row r="33">
      <x:c r="A33" s="20" t="n">
        <x:v>46088</x:v>
      </x:c>
      <x:c r="B33" t="str">
        <x:v>Daire 7 - Deniz Eren 03/2026 aidat</x:v>
      </x:c>
      <x:c r="C33" t="str">
        <x:v>Giriş</x:v>
      </x:c>
      <x:c r="D33" s="22" t="n">
        <x:v>1922.47</x:v>
      </x:c>
      <x:c r="E33" s="22" t="n">
        <x:v>0</x:v>
      </x:c>
      <x:c r="F33" s="22" t="n">
        <x:v>26224.55</x:v>
      </x:c>
      <x:c r="G33" t="str">
        <x:v>Aidat</x:v>
      </x:c>
      <x:c r="H33" t="str">
        <x:v>B003-R007-03</x:v>
      </x:c>
    </x:row>
    <x:row r="34">
      <x:c r="A34" s="20" t="n">
        <x:v>46090</x:v>
      </x:c>
      <x:c r="B34" t="str">
        <x:v>Daire 6 - Gül Koç 03/2026 aidat</x:v>
      </x:c>
      <x:c r="C34" t="str">
        <x:v>Giriş</x:v>
      </x:c>
      <x:c r="D34" s="22" t="n">
        <x:v>2410.72</x:v>
      </x:c>
      <x:c r="E34" s="22" t="n">
        <x:v>0</x:v>
      </x:c>
      <x:c r="F34" s="22" t="n">
        <x:v>28635.27</x:v>
      </x:c>
      <x:c r="G34" t="str">
        <x:v>Aidat</x:v>
      </x:c>
      <x:c r="H34" t="str">
        <x:v>B003-R006-03</x:v>
      </x:c>
    </x:row>
    <x:row r="35">
      <x:c r="A35" s="20" t="n">
        <x:v>46090</x:v>
      </x:c>
      <x:c r="B35" t="str">
        <x:v>Mart ortak alan su</x:v>
      </x:c>
      <x:c r="C35" t="str">
        <x:v>Çıkış</x:v>
      </x:c>
      <x:c r="D35" s="22" t="n">
        <x:v>0</x:v>
      </x:c>
      <x:c r="E35" s="22" t="n">
        <x:v>710</x:v>
      </x:c>
      <x:c r="F35" s="22" t="n">
        <x:v>27925.27</x:v>
      </x:c>
      <x:c r="G35" t="str">
        <x:v>Ortak Alan Su</x:v>
      </x:c>
      <x:c r="H35" t="str">
        <x:v>B003-G0020</x:v>
      </x:c>
    </x:row>
    <x:row r="36">
      <x:c r="A36" s="20" t="n">
        <x:v>46092</x:v>
      </x:c>
      <x:c r="B36" t="str">
        <x:v>Daire 4 - Deniz Karaca 03/2026 aidat</x:v>
      </x:c>
      <x:c r="C36" t="str">
        <x:v>Giriş</x:v>
      </x:c>
      <x:c r="D36" s="22" t="n">
        <x:v>1464.74</x:v>
      </x:c>
      <x:c r="E36" s="22" t="n">
        <x:v>0</x:v>
      </x:c>
      <x:c r="F36" s="22" t="n">
        <x:v>29390.010000000002</x:v>
      </x:c>
      <x:c r="G36" t="str">
        <x:v>Aidat</x:v>
      </x:c>
      <x:c r="H36" t="str">
        <x:v>B003-R004-03</x:v>
      </x:c>
    </x:row>
    <x:row r="37">
      <x:c r="A37" s="20" t="n">
        <x:v>46094</x:v>
      </x:c>
      <x:c r="B37" t="str">
        <x:v>Aylık asansör bakımı</x:v>
      </x:c>
      <x:c r="C37" t="str">
        <x:v>Çıkış</x:v>
      </x:c>
      <x:c r="D37" s="22" t="n">
        <x:v>0</x:v>
      </x:c>
      <x:c r="E37" s="22" t="n">
        <x:v>2100</x:v>
      </x:c>
      <x:c r="F37" s="22" t="n">
        <x:v>27290.010000000002</x:v>
      </x:c>
      <x:c r="G37" t="str">
        <x:v>Asansör Bakımı</x:v>
      </x:c>
      <x:c r="H37" t="str">
        <x:v>B003-G0021</x:v>
      </x:c>
    </x:row>
    <x:row r="38">
      <x:c r="A38" s="20" t="n">
        <x:v>46106</x:v>
      </x:c>
      <x:c r="B38" t="str">
        <x:v>Yönetim hizmet bedeli</x:v>
      </x:c>
      <x:c r="C38" t="str">
        <x:v>Çıkış</x:v>
      </x:c>
      <x:c r="D38" s="22" t="n">
        <x:v>0</x:v>
      </x:c>
      <x:c r="E38" s="22" t="n">
        <x:v>2500</x:v>
      </x:c>
      <x:c r="F38" s="22" t="n">
        <x:v>24790.010000000002</x:v>
      </x:c>
      <x:c r="G38" t="str">
        <x:v>Yönetim Hizmeti</x:v>
      </x:c>
      <x:c r="H38" t="str">
        <x:v>B003-G0024</x:v>
      </x:c>
    </x:row>
    <x:row r="39">
      <x:c r="A39" s="20" t="n">
        <x:v>46116</x:v>
      </x:c>
      <x:c r="B39" t="str">
        <x:v>Daire 1 - Kerem Yılmaz 04/2026 aidat</x:v>
      </x:c>
      <x:c r="C39" t="str">
        <x:v>Giriş</x:v>
      </x:c>
      <x:c r="D39" s="22" t="n">
        <x:v>1316.49</x:v>
      </x:c>
      <x:c r="E39" s="22" t="n">
        <x:v>0</x:v>
      </x:c>
      <x:c r="F39" s="22" t="n">
        <x:v>26106.500000000004</x:v>
      </x:c>
      <x:c r="G39" t="str">
        <x:v>Aidat</x:v>
      </x:c>
      <x:c r="H39" t="str">
        <x:v>B003-R001-04</x:v>
      </x:c>
    </x:row>
    <x:row r="40">
      <x:c r="A40" s="20" t="n">
        <x:v>46116</x:v>
      </x:c>
      <x:c r="B40" t="str">
        <x:v>Daire 6 - Gül Koç 04/2026 aidat</x:v>
      </x:c>
      <x:c r="C40" t="str">
        <x:v>Giriş</x:v>
      </x:c>
      <x:c r="D40" s="22" t="n">
        <x:v>2311.18</x:v>
      </x:c>
      <x:c r="E40" s="22" t="n">
        <x:v>0</x:v>
      </x:c>
      <x:c r="F40" s="22" t="n">
        <x:v>28417.680000000004</x:v>
      </x:c>
      <x:c r="G40" t="str">
        <x:v>Aidat</x:v>
      </x:c>
      <x:c r="H40" t="str">
        <x:v>B003-R006-04</x:v>
      </x:c>
    </x:row>
    <x:row r="41">
      <x:c r="A41" s="20" t="n">
        <x:v>46117</x:v>
      </x:c>
      <x:c r="B41" t="str">
        <x:v>Daire 2 - Deniz Yıldız 04/2026 aidat</x:v>
      </x:c>
      <x:c r="C41" t="str">
        <x:v>Giriş</x:v>
      </x:c>
      <x:c r="D41" s="22" t="n">
        <x:v>1316.49</x:v>
      </x:c>
      <x:c r="E41" s="22" t="n">
        <x:v>0</x:v>
      </x:c>
      <x:c r="F41" s="22" t="n">
        <x:v>29734.170000000006</x:v>
      </x:c>
      <x:c r="G41" t="str">
        <x:v>Aidat</x:v>
      </x:c>
      <x:c r="H41" t="str">
        <x:v>B003-R002-04</x:v>
      </x:c>
    </x:row>
    <x:row r="42">
      <x:c r="A42" s="20" t="n">
        <x:v>46117</x:v>
      </x:c>
      <x:c r="B42" t="str">
        <x:v>Daire 7 - Deniz Eren 04/2026 aidat</x:v>
      </x:c>
      <x:c r="C42" t="str">
        <x:v>Giriş</x:v>
      </x:c>
      <x:c r="D42" s="22" t="n">
        <x:v>1843.09</x:v>
      </x:c>
      <x:c r="E42" s="22" t="n">
        <x:v>0</x:v>
      </x:c>
      <x:c r="F42" s="22" t="n">
        <x:v>31577.260000000006</x:v>
      </x:c>
      <x:c r="G42" t="str">
        <x:v>Aidat</x:v>
      </x:c>
      <x:c r="H42" t="str">
        <x:v>B003-R007-04</x:v>
      </x:c>
    </x:row>
    <x:row r="43">
      <x:c r="A43" s="20" t="n">
        <x:v>46117</x:v>
      </x:c>
      <x:c r="B43" t="str">
        <x:v>Nisan ortak alan elektrik</x:v>
      </x:c>
      <x:c r="C43" t="str">
        <x:v>Çıkış</x:v>
      </x:c>
      <x:c r="D43" s="22" t="n">
        <x:v>0</x:v>
      </x:c>
      <x:c r="E43" s="22" t="n">
        <x:v>1350</x:v>
      </x:c>
      <x:c r="F43" s="22" t="n">
        <x:v>30227.260000000006</x:v>
      </x:c>
      <x:c r="G43" t="str">
        <x:v>Ortak Alan Elektrik</x:v>
      </x:c>
      <x:c r="H43" t="str">
        <x:v>B003-G0025</x:v>
      </x:c>
    </x:row>
    <x:row r="44">
      <x:c r="A44" s="20" t="n">
        <x:v>46118</x:v>
      </x:c>
      <x:c r="B44" t="str">
        <x:v>Daire 4 - Deniz Karaca 04/2026 aidat</x:v>
      </x:c>
      <x:c r="C44" t="str">
        <x:v>Giriş</x:v>
      </x:c>
      <x:c r="D44" s="22" t="n">
        <x:v>1404.26</x:v>
      </x:c>
      <x:c r="E44" s="22" t="n">
        <x:v>0</x:v>
      </x:c>
      <x:c r="F44" s="22" t="n">
        <x:v>31631.520000000004</x:v>
      </x:c>
      <x:c r="G44" t="str">
        <x:v>Aidat</x:v>
      </x:c>
      <x:c r="H44" t="str">
        <x:v>B003-R004-04</x:v>
      </x:c>
    </x:row>
    <x:row r="45">
      <x:c r="A45" s="20" t="n">
        <x:v>46118</x:v>
      </x:c>
      <x:c r="B45" t="str">
        <x:v>Daire 5 - Murat Aksoy 04/2026 aidat</x:v>
      </x:c>
      <x:c r="C45" t="str">
        <x:v>Giriş</x:v>
      </x:c>
      <x:c r="D45" s="22" t="n">
        <x:v>1316.49</x:v>
      </x:c>
      <x:c r="E45" s="22" t="n">
        <x:v>0</x:v>
      </x:c>
      <x:c r="F45" s="22" t="n">
        <x:v>32948.01</x:v>
      </x:c>
      <x:c r="G45" t="str">
        <x:v>Aidat</x:v>
      </x:c>
      <x:c r="H45" t="str">
        <x:v>B003-R005-04</x:v>
      </x:c>
    </x:row>
    <x:row r="46">
      <x:c r="A46" s="20" t="n">
        <x:v>46119</x:v>
      </x:c>
      <x:c r="B46" t="str">
        <x:v>Daire 3 - Nihan Şahin 04/2026 aidat</x:v>
      </x:c>
      <x:c r="C46" t="str">
        <x:v>Giriş</x:v>
      </x:c>
      <x:c r="D46" s="22" t="n">
        <x:v>1535.91</x:v>
      </x:c>
      <x:c r="E46" s="22" t="n">
        <x:v>0</x:v>
      </x:c>
      <x:c r="F46" s="22" t="n">
        <x:v>34483.920000000006</x:v>
      </x:c>
      <x:c r="G46" t="str">
        <x:v>Aidat</x:v>
      </x:c>
      <x:c r="H46" t="str">
        <x:v>B003-R003-04</x:v>
      </x:c>
    </x:row>
    <x:row r="47">
      <x:c r="A47" s="20" t="n">
        <x:v>46120</x:v>
      </x:c>
      <x:c r="B47" t="str">
        <x:v>Daire 8 - Elif Şahin 04/2026 aidat</x:v>
      </x:c>
      <x:c r="C47" t="str">
        <x:v>Giriş</x:v>
      </x:c>
      <x:c r="D47" s="22" t="n">
        <x:v>1726.07</x:v>
      </x:c>
      <x:c r="E47" s="22" t="n">
        <x:v>0</x:v>
      </x:c>
      <x:c r="F47" s="22" t="n">
        <x:v>36209.990000000005</x:v>
      </x:c>
      <x:c r="G47" t="str">
        <x:v>Aidat</x:v>
      </x:c>
      <x:c r="H47" t="str">
        <x:v>B003-R008-04</x:v>
      </x:c>
    </x:row>
    <x:row r="48">
      <x:c r="A48" s="20" t="n">
        <x:v>46121</x:v>
      </x:c>
      <x:c r="B48" t="str">
        <x:v>Nisan ortak alan su</x:v>
      </x:c>
      <x:c r="C48" t="str">
        <x:v>Çıkış</x:v>
      </x:c>
      <x:c r="D48" s="22" t="n">
        <x:v>0</x:v>
      </x:c>
      <x:c r="E48" s="22" t="n">
        <x:v>730</x:v>
      </x:c>
      <x:c r="F48" s="22" t="n">
        <x:v>35479.990000000005</x:v>
      </x:c>
      <x:c r="G48" t="str">
        <x:v>Ortak Alan Su</x:v>
      </x:c>
      <x:c r="H48" t="str">
        <x:v>B003-G0026</x:v>
      </x:c>
    </x:row>
    <x:row r="49">
      <x:c r="A49" s="20" t="n">
        <x:v>46125</x:v>
      </x:c>
      <x:c r="B49" t="str">
        <x:v>Aylık asansör bakımı</x:v>
      </x:c>
      <x:c r="C49" t="str">
        <x:v>Çıkış</x:v>
      </x:c>
      <x:c r="D49" s="22" t="n">
        <x:v>0</x:v>
      </x:c>
      <x:c r="E49" s="22" t="n">
        <x:v>2200</x:v>
      </x:c>
      <x:c r="F49" s="22" t="n">
        <x:v>33279.990000000005</x:v>
      </x:c>
      <x:c r="G49" t="str">
        <x:v>Asansör Bakımı</x:v>
      </x:c>
      <x:c r="H49" t="str">
        <x:v>B003-G0027</x:v>
      </x:c>
    </x:row>
    <x:row r="50">
      <x:c r="A50" s="20" t="n">
        <x:v>46129</x:v>
      </x:c>
      <x:c r="B50" t="str">
        <x:v>Hidrofor parça değişimi</x:v>
      </x:c>
      <x:c r="C50" t="str">
        <x:v>Çıkış</x:v>
      </x:c>
      <x:c r="D50" s="22" t="n">
        <x:v>0</x:v>
      </x:c>
      <x:c r="E50" s="22" t="n">
        <x:v>6200</x:v>
      </x:c>
      <x:c r="F50" s="22" t="n">
        <x:v>27079.990000000005</x:v>
      </x:c>
      <x:c r="G50" t="str">
        <x:v>Hidrofor Bakımı</x:v>
      </x:c>
      <x:c r="H50" t="str">
        <x:v>B003-G0028</x:v>
      </x:c>
    </x:row>
    <x:row r="51">
      <x:c r="A51" s="20" t="n">
        <x:v>46137</x:v>
      </x:c>
      <x:c r="B51" t="str">
        <x:v>Yönetim hizmet bedeli</x:v>
      </x:c>
      <x:c r="C51" t="str">
        <x:v>Çıkış</x:v>
      </x:c>
      <x:c r="D51" s="22" t="n">
        <x:v>0</x:v>
      </x:c>
      <x:c r="E51" s="22" t="n">
        <x:v>2500</x:v>
      </x:c>
      <x:c r="F51" s="22" t="n">
        <x:v>24579.990000000005</x:v>
      </x:c>
      <x:c r="G51" t="str">
        <x:v>Yönetim Hizmeti</x:v>
      </x:c>
      <x:c r="H51" t="str">
        <x:v>B003-G0030</x:v>
      </x:c>
    </x:row>
    <x:row r="52">
      <x:c r="A52" s="20" t="n">
        <x:v>46146</x:v>
      </x:c>
      <x:c r="B52" t="str">
        <x:v>Daire 3 - Nihan Şahin 05/2026 aidat</x:v>
      </x:c>
      <x:c r="C52" t="str">
        <x:v>Giriş</x:v>
      </x:c>
      <x:c r="D52" s="22" t="n">
        <x:v>1873.88</x:v>
      </x:c>
      <x:c r="E52" s="22" t="n">
        <x:v>0</x:v>
      </x:c>
      <x:c r="F52" s="22" t="n">
        <x:v>26453.870000000006</x:v>
      </x:c>
      <x:c r="G52" t="str">
        <x:v>Aidat</x:v>
      </x:c>
      <x:c r="H52" t="str">
        <x:v>B003-R003-05</x:v>
      </x:c>
    </x:row>
    <x:row r="53">
      <x:c r="A53" s="20" t="n">
        <x:v>46146</x:v>
      </x:c>
      <x:c r="B53" t="str">
        <x:v>Daire 6 - Gül Koç 05/2026 aidat</x:v>
      </x:c>
      <x:c r="C53" t="str">
        <x:v>Giriş</x:v>
      </x:c>
      <x:c r="D53" s="22" t="n">
        <x:v>2819.75</x:v>
      </x:c>
      <x:c r="E53" s="22" t="n">
        <x:v>0</x:v>
      </x:c>
      <x:c r="F53" s="22" t="n">
        <x:v>29273.620000000006</x:v>
      </x:c>
      <x:c r="G53" t="str">
        <x:v>Aidat</x:v>
      </x:c>
      <x:c r="H53" t="str">
        <x:v>B003-R006-05</x:v>
      </x:c>
    </x:row>
    <x:row r="54">
      <x:c r="A54" s="20" t="n">
        <x:v>46147</x:v>
      </x:c>
      <x:c r="B54" t="str">
        <x:v>Daire 1 - Kerem Yılmaz 05/2026 aidat</x:v>
      </x:c>
      <x:c r="C54" t="str">
        <x:v>Giriş</x:v>
      </x:c>
      <x:c r="D54" s="22" t="n">
        <x:v>1606.19</x:v>
      </x:c>
      <x:c r="E54" s="22" t="n">
        <x:v>0</x:v>
      </x:c>
      <x:c r="F54" s="22" t="n">
        <x:v>30879.810000000005</x:v>
      </x:c>
      <x:c r="G54" t="str">
        <x:v>Aidat</x:v>
      </x:c>
      <x:c r="H54" t="str">
        <x:v>B003-R001-05</x:v>
      </x:c>
    </x:row>
    <x:row r="55">
      <x:c r="A55" s="20" t="n">
        <x:v>46147</x:v>
      </x:c>
      <x:c r="B55" t="str">
        <x:v>Mayıs ortak alan elektrik</x:v>
      </x:c>
      <x:c r="C55" t="str">
        <x:v>Çıkış</x:v>
      </x:c>
      <x:c r="D55" s="22" t="n">
        <x:v>0</x:v>
      </x:c>
      <x:c r="E55" s="22" t="n">
        <x:v>1450</x:v>
      </x:c>
      <x:c r="F55" s="22" t="n">
        <x:v>29429.810000000005</x:v>
      </x:c>
      <x:c r="G55" t="str">
        <x:v>Ortak Alan Elektrik</x:v>
      </x:c>
      <x:c r="H55" t="str">
        <x:v>B003-G0031</x:v>
      </x:c>
    </x:row>
    <x:row r="56">
      <x:c r="A56" s="20" t="n">
        <x:v>46150</x:v>
      </x:c>
      <x:c r="B56" t="str">
        <x:v>Daire 5 - Murat Aksoy 05/2026 aidat</x:v>
      </x:c>
      <x:c r="C56" t="str">
        <x:v>Giriş</x:v>
      </x:c>
      <x:c r="D56" s="22" t="n">
        <x:v>1606.19</x:v>
      </x:c>
      <x:c r="E56" s="22" t="n">
        <x:v>0</x:v>
      </x:c>
      <x:c r="F56" s="22" t="n">
        <x:v>31036.000000000004</x:v>
      </x:c>
      <x:c r="G56" t="str">
        <x:v>Aidat</x:v>
      </x:c>
      <x:c r="H56" t="str">
        <x:v>B003-R005-05</x:v>
      </x:c>
    </x:row>
    <x:row r="57">
      <x:c r="A57" s="20" t="n">
        <x:v>46151</x:v>
      </x:c>
      <x:c r="B57" t="str">
        <x:v>Daire 2 - Deniz Yıldız 05/2026 aidat</x:v>
      </x:c>
      <x:c r="C57" t="str">
        <x:v>Giriş</x:v>
      </x:c>
      <x:c r="D57" s="22" t="n">
        <x:v>1606.19</x:v>
      </x:c>
      <x:c r="E57" s="22" t="n">
        <x:v>0</x:v>
      </x:c>
      <x:c r="F57" s="22" t="n">
        <x:v>32642.190000000002</x:v>
      </x:c>
      <x:c r="G57" t="str">
        <x:v>Aidat</x:v>
      </x:c>
      <x:c r="H57" t="str">
        <x:v>B003-R002-05</x:v>
      </x:c>
    </x:row>
    <x:row r="58">
      <x:c r="A58" s="20" t="n">
        <x:v>46151</x:v>
      </x:c>
      <x:c r="B58" t="str">
        <x:v>Mayıs ortak alan su</x:v>
      </x:c>
      <x:c r="C58" t="str">
        <x:v>Çıkış</x:v>
      </x:c>
      <x:c r="D58" s="22" t="n">
        <x:v>0</x:v>
      </x:c>
      <x:c r="E58" s="22" t="n">
        <x:v>780</x:v>
      </x:c>
      <x:c r="F58" s="22" t="n">
        <x:v>31862.190000000002</x:v>
      </x:c>
      <x:c r="G58" t="str">
        <x:v>Ortak Alan Su</x:v>
      </x:c>
      <x:c r="H58" t="str">
        <x:v>B003-G0032</x:v>
      </x:c>
    </x:row>
    <x:row r="59">
      <x:c r="A59" s="20" t="n">
        <x:v>46152</x:v>
      </x:c>
      <x:c r="B59" t="str">
        <x:v>Daire 7 - Deniz Eren 05/2026 aidat</x:v>
      </x:c>
      <x:c r="C59" t="str">
        <x:v>Giriş</x:v>
      </x:c>
      <x:c r="D59" s="22" t="n">
        <x:v>2248.66</x:v>
      </x:c>
      <x:c r="E59" s="22" t="n">
        <x:v>0</x:v>
      </x:c>
      <x:c r="F59" s="22" t="n">
        <x:v>34110.850000000006</x:v>
      </x:c>
      <x:c r="G59" t="str">
        <x:v>Aidat</x:v>
      </x:c>
      <x:c r="H59" t="str">
        <x:v>B003-R007-05</x:v>
      </x:c>
    </x:row>
    <x:row r="60">
      <x:c r="A60" s="20" t="n">
        <x:v>46155</x:v>
      </x:c>
      <x:c r="B60" t="str">
        <x:v>Aylık asansör bakımı</x:v>
      </x:c>
      <x:c r="C60" t="str">
        <x:v>Çıkış</x:v>
      </x:c>
      <x:c r="D60" s="22" t="n">
        <x:v>0</x:v>
      </x:c>
      <x:c r="E60" s="22" t="n">
        <x:v>2200</x:v>
      </x:c>
      <x:c r="F60" s="22" t="n">
        <x:v>31910.850000000006</x:v>
      </x:c>
      <x:c r="G60" t="str">
        <x:v>Asansör Bakımı</x:v>
      </x:c>
      <x:c r="H60" t="str">
        <x:v>B003-G0033</x:v>
      </x:c>
    </x:row>
    <x:row r="61">
      <x:c r="A61" s="20" t="n">
        <x:v>46157</x:v>
      </x:c>
      <x:c r="B61" t="str">
        <x:v>Daire 4 - Deniz Karaca 05/2026 aidat</x:v>
      </x:c>
      <x:c r="C61" t="str">
        <x:v>Giriş</x:v>
      </x:c>
      <x:c r="D61" s="22" t="n">
        <x:v>856.63</x:v>
      </x:c>
      <x:c r="E61" s="22" t="n">
        <x:v>0</x:v>
      </x:c>
      <x:c r="F61" s="22" t="n">
        <x:v>32767.480000000007</x:v>
      </x:c>
      <x:c r="G61" t="str">
        <x:v>Aidat</x:v>
      </x:c>
      <x:c r="H61" t="str">
        <x:v>B003-R004-05</x:v>
      </x:c>
    </x:row>
    <x:row r="62">
      <x:c r="A62" s="20" t="n">
        <x:v>46157</x:v>
      </x:c>
      <x:c r="B62" t="str">
        <x:v>Daire 8 - Elif Şahin 05/2026 aidat</x:v>
      </x:c>
      <x:c r="C62" t="str">
        <x:v>Giriş</x:v>
      </x:c>
      <x:c r="D62" s="22" t="n">
        <x:v>1052.94</x:v>
      </x:c>
      <x:c r="E62" s="22" t="n">
        <x:v>0</x:v>
      </x:c>
      <x:c r="F62" s="22" t="n">
        <x:v>33820.420000000006</x:v>
      </x:c>
      <x:c r="G62" t="str">
        <x:v>Aidat</x:v>
      </x:c>
      <x:c r="H62" t="str">
        <x:v>B003-R008-05</x:v>
      </x:c>
    </x:row>
    <x:row r="63">
      <x:c r="A63" s="20" t="n">
        <x:v>46159</x:v>
      </x:c>
      <x:c r="B63" t="str">
        <x:v>Jeneratör yağ ve filtre bakımı</x:v>
      </x:c>
      <x:c r="C63" t="str">
        <x:v>Çıkış</x:v>
      </x:c>
      <x:c r="D63" s="22" t="n">
        <x:v>0</x:v>
      </x:c>
      <x:c r="E63" s="22" t="n">
        <x:v>3600</x:v>
      </x:c>
      <x:c r="F63" s="22" t="n">
        <x:v>30220.420000000006</x:v>
      </x:c>
      <x:c r="G63" t="str">
        <x:v>Jeneratör Bakımı</x:v>
      </x:c>
      <x:c r="H63" t="str">
        <x:v>B003-G0034</x:v>
      </x:c>
    </x:row>
    <x:row r="64">
      <x:c r="A64" s="20" t="n">
        <x:v>46167</x:v>
      </x:c>
      <x:c r="B64" t="str">
        <x:v>Yönetim hizmet bedeli</x:v>
      </x:c>
      <x:c r="C64" t="str">
        <x:v>Çıkış</x:v>
      </x:c>
      <x:c r="D64" s="22" t="n">
        <x:v>0</x:v>
      </x:c>
      <x:c r="E64" s="22" t="n">
        <x:v>2500</x:v>
      </x:c>
      <x:c r="F64" s="22" t="n">
        <x:v>27720.420000000006</x:v>
      </x:c>
      <x:c r="G64" t="str">
        <x:v>Yönetim Hizmeti</x:v>
      </x:c>
      <x:c r="H64" t="str">
        <x:v>B003-G0036</x:v>
      </x:c>
    </x:row>
    <x:row r="65">
      <x:c r="A65" s="20" t="n">
        <x:v>46178</x:v>
      </x:c>
      <x:c r="B65" t="str">
        <x:v>Haziran ortak alan elektrik</x:v>
      </x:c>
      <x:c r="C65" t="str">
        <x:v>Çıkış</x:v>
      </x:c>
      <x:c r="D65" s="22" t="n">
        <x:v>0</x:v>
      </x:c>
      <x:c r="E65" s="22" t="n">
        <x:v>1550</x:v>
      </x:c>
      <x:c r="F65" s="22" t="n">
        <x:v>26170.420000000006</x:v>
      </x:c>
      <x:c r="G65" t="str">
        <x:v>Ortak Alan Elektrik</x:v>
      </x:c>
      <x:c r="H65" t="str">
        <x:v>B003-G0037</x:v>
      </x:c>
    </x:row>
    <x:row r="66">
      <x:c r="A66" s="20" t="n">
        <x:v>46181</x:v>
      </x:c>
      <x:c r="B66" t="str">
        <x:v>Daire 7 - Deniz Eren 06/2026 aidat</x:v>
      </x:c>
      <x:c r="C66" t="str">
        <x:v>Giriş</x:v>
      </x:c>
      <x:c r="D66" s="22" t="n">
        <x:v>1866.19</x:v>
      </x:c>
      <x:c r="E66" s="22" t="n">
        <x:v>0</x:v>
      </x:c>
      <x:c r="F66" s="22" t="n">
        <x:v>28036.610000000004</x:v>
      </x:c>
      <x:c r="G66" t="str">
        <x:v>Aidat</x:v>
      </x:c>
      <x:c r="H66" t="str">
        <x:v>B003-R007-06</x:v>
      </x:c>
    </x:row>
    <x:row r="67">
      <x:c r="A67" s="20" t="n">
        <x:v>46182</x:v>
      </x:c>
      <x:c r="B67" t="str">
        <x:v>Daire 4 - Deniz Karaca 06/2026 aidat</x:v>
      </x:c>
      <x:c r="C67" t="str">
        <x:v>Giriş</x:v>
      </x:c>
      <x:c r="D67" s="22" t="n">
        <x:v>1421.86</x:v>
      </x:c>
      <x:c r="E67" s="22" t="n">
        <x:v>0</x:v>
      </x:c>
      <x:c r="F67" s="22" t="n">
        <x:v>29458.470000000005</x:v>
      </x:c>
      <x:c r="G67" t="str">
        <x:v>Aidat</x:v>
      </x:c>
      <x:c r="H67" t="str">
        <x:v>B003-R004-06</x:v>
      </x:c>
    </x:row>
    <x:row r="68">
      <x:c r="A68" s="20" t="n">
        <x:v>46182</x:v>
      </x:c>
      <x:c r="B68" t="str">
        <x:v>Daire 6 - Gül Koç 06/2026 aidat</x:v>
      </x:c>
      <x:c r="C68" t="str">
        <x:v>Giriş</x:v>
      </x:c>
      <x:c r="D68" s="22" t="n">
        <x:v>2340.14</x:v>
      </x:c>
      <x:c r="E68" s="22" t="n">
        <x:v>0</x:v>
      </x:c>
      <x:c r="F68" s="22" t="n">
        <x:v>31798.610000000004</x:v>
      </x:c>
      <x:c r="G68" t="str">
        <x:v>Aidat</x:v>
      </x:c>
      <x:c r="H68" t="str">
        <x:v>B003-R006-06</x:v>
      </x:c>
    </x:row>
    <x:row r="69">
      <x:c r="A69" s="20" t="n">
        <x:v>46182</x:v>
      </x:c>
      <x:c r="B69" t="str">
        <x:v>Haziran ortak alan su</x:v>
      </x:c>
      <x:c r="C69" t="str">
        <x:v>Çıkış</x:v>
      </x:c>
      <x:c r="D69" s="22" t="n">
        <x:v>0</x:v>
      </x:c>
      <x:c r="E69" s="22" t="n">
        <x:v>820</x:v>
      </x:c>
      <x:c r="F69" s="22" t="n">
        <x:v>30978.610000000004</x:v>
      </x:c>
      <x:c r="G69" t="str">
        <x:v>Ortak Alan Su</x:v>
      </x:c>
      <x:c r="H69" t="str">
        <x:v>B003-G0038</x:v>
      </x:c>
    </x:row>
    <x:row r="70">
      <x:c r="A70" s="20" t="n">
        <x:v>46183</x:v>
      </x:c>
      <x:c r="B70" t="str">
        <x:v>Daire 2 - Deniz Yıldız 06/2026 aidat</x:v>
      </x:c>
      <x:c r="C70" t="str">
        <x:v>Giriş</x:v>
      </x:c>
      <x:c r="D70" s="22" t="n">
        <x:v>1332.99</x:v>
      </x:c>
      <x:c r="E70" s="22" t="n">
        <x:v>0</x:v>
      </x:c>
      <x:c r="F70" s="22" t="n">
        <x:v>32311.600000000006</x:v>
      </x:c>
      <x:c r="G70" t="str">
        <x:v>Aidat</x:v>
      </x:c>
      <x:c r="H70" t="str">
        <x:v>B003-R002-06</x:v>
      </x:c>
    </x:row>
    <x:row r="71">
      <x:c r="A71" s="20" t="n">
        <x:v>46183</x:v>
      </x:c>
      <x:c r="B71" t="str">
        <x:v>Daire 5 - Murat Aksoy 06/2026 aidat</x:v>
      </x:c>
      <x:c r="C71" t="str">
        <x:v>Giriş</x:v>
      </x:c>
      <x:c r="D71" s="22" t="n">
        <x:v>1332.99</x:v>
      </x:c>
      <x:c r="E71" s="22" t="n">
        <x:v>0</x:v>
      </x:c>
      <x:c r="F71" s="22" t="n">
        <x:v>33644.590000000004</x:v>
      </x:c>
      <x:c r="G71" t="str">
        <x:v>Aidat</x:v>
      </x:c>
      <x:c r="H71" t="str">
        <x:v>B003-R005-06</x:v>
      </x:c>
    </x:row>
    <x:row r="72">
      <x:c r="A72" s="20" t="n">
        <x:v>46184</x:v>
      </x:c>
      <x:c r="B72" t="str">
        <x:v>Daire 1 - Kerem Yılmaz 06/2026 aidat</x:v>
      </x:c>
      <x:c r="C72" t="str">
        <x:v>Giriş</x:v>
      </x:c>
      <x:c r="D72" s="22" t="n">
        <x:v>1332.99</x:v>
      </x:c>
      <x:c r="E72" s="22" t="n">
        <x:v>0</x:v>
      </x:c>
      <x:c r="F72" s="22" t="n">
        <x:v>34977.58</x:v>
      </x:c>
      <x:c r="G72" t="str">
        <x:v>Aidat</x:v>
      </x:c>
      <x:c r="H72" t="str">
        <x:v>B003-R001-06</x:v>
      </x:c>
    </x:row>
    <x:row r="73">
      <x:c r="A73" s="20" t="n">
        <x:v>46184</x:v>
      </x:c>
      <x:c r="B73" t="str">
        <x:v>Daire 8 - Elif Şahin 06/2026 aidat</x:v>
      </x:c>
      <x:c r="C73" t="str">
        <x:v>Giriş</x:v>
      </x:c>
      <x:c r="D73" s="22" t="n">
        <x:v>1747.7</x:v>
      </x:c>
      <x:c r="E73" s="22" t="n">
        <x:v>0</x:v>
      </x:c>
      <x:c r="F73" s="22" t="n">
        <x:v>36725.28</x:v>
      </x:c>
      <x:c r="G73" t="str">
        <x:v>Aidat</x:v>
      </x:c>
      <x:c r="H73" t="str">
        <x:v>B003-R008-06</x:v>
      </x:c>
    </x:row>
    <x:row r="74">
      <x:c r="A74" s="20" t="n">
        <x:v>46185</x:v>
      </x:c>
      <x:c r="B74" t="str">
        <x:v>Daire 3 - Nihan Şahin 06/2026 aidat</x:v>
      </x:c>
      <x:c r="C74" t="str">
        <x:v>Giriş</x:v>
      </x:c>
      <x:c r="D74" s="22" t="n">
        <x:v>1555.15</x:v>
      </x:c>
      <x:c r="E74" s="22" t="n">
        <x:v>0</x:v>
      </x:c>
      <x:c r="F74" s="22" t="n">
        <x:v>38280.43</x:v>
      </x:c>
      <x:c r="G74" t="str">
        <x:v>Aidat</x:v>
      </x:c>
      <x:c r="H74" t="str">
        <x:v>B003-R003-06</x:v>
      </x:c>
    </x:row>
    <x:row r="75">
      <x:c r="A75" s="20" t="n">
        <x:v>46186</x:v>
      </x:c>
      <x:c r="B75" t="str">
        <x:v>Aylık asansör bakımı</x:v>
      </x:c>
      <x:c r="C75" t="str">
        <x:v>Çıkış</x:v>
      </x:c>
      <x:c r="D75" s="22" t="n">
        <x:v>0</x:v>
      </x:c>
      <x:c r="E75" s="22" t="n">
        <x:v>2200</x:v>
      </x:c>
      <x:c r="F75" s="22" t="n">
        <x:v>36080.43</x:v>
      </x:c>
      <x:c r="G75" t="str">
        <x:v>Asansör Bakımı</x:v>
      </x:c>
      <x:c r="H75" t="str">
        <x:v>B003-G0039</x:v>
      </x:c>
    </x:row>
    <x:row r="76">
      <x:c r="A76" s="20" t="n">
        <x:v>46198</x:v>
      </x:c>
      <x:c r="B76" t="str">
        <x:v>Yönetim hizmet bedeli</x:v>
      </x:c>
      <x:c r="C76" t="str">
        <x:v>Çıkış</x:v>
      </x:c>
      <x:c r="D76" s="22" t="n">
        <x:v>0</x:v>
      </x:c>
      <x:c r="E76" s="22" t="n">
        <x:v>2500</x:v>
      </x:c>
      <x:c r="F76" s="22" t="n">
        <x:v>33580.43</x:v>
      </x:c>
      <x:c r="G76" t="str">
        <x:v>Yönetim Hizmeti</x:v>
      </x:c>
      <x:c r="H76" t="str">
        <x:v>B003-G0042</x:v>
      </x:c>
    </x:row>
    <x:row r="77">
      <x:c r="A77" s="20" t="n">
        <x:v>46208</x:v>
      </x:c>
      <x:c r="B77" t="str">
        <x:v>Daire 5 - Murat Aksoy 07/2026 aidat</x:v>
      </x:c>
      <x:c r="C77" t="str">
        <x:v>Giriş</x:v>
      </x:c>
      <x:c r="D77" s="22" t="n">
        <x:v>2436.08</x:v>
      </x:c>
      <x:c r="E77" s="22" t="n">
        <x:v>0</x:v>
      </x:c>
      <x:c r="F77" s="22" t="n">
        <x:v>36016.51</x:v>
      </x:c>
      <x:c r="G77" t="str">
        <x:v>Aidat</x:v>
      </x:c>
      <x:c r="H77" t="str">
        <x:v>B003-R005-07</x:v>
      </x:c>
    </x:row>
    <x:row r="78">
      <x:c r="A78" s="20" t="n">
        <x:v>46210</x:v>
      </x:c>
      <x:c r="B78" t="str">
        <x:v>Daire 7 - Deniz Eren 07/2026 aidat</x:v>
      </x:c>
      <x:c r="C78" t="str">
        <x:v>Giriş</x:v>
      </x:c>
      <x:c r="D78" s="22" t="n">
        <x:v>3410.52</x:v>
      </x:c>
      <x:c r="E78" s="22" t="n">
        <x:v>0</x:v>
      </x:c>
      <x:c r="F78" s="22" t="n">
        <x:v>39427.03</x:v>
      </x:c>
      <x:c r="G78" t="str">
        <x:v>Aidat</x:v>
      </x:c>
      <x:c r="H78" t="str">
        <x:v>B003-R007-07</x:v>
      </x:c>
    </x:row>
    <x:row r="79">
      <x:c r="A79" s="20" t="n">
        <x:v>46212</x:v>
      </x:c>
      <x:c r="B79" t="str">
        <x:v>Daire 1 - Kerem Yılmaz 07/2026 aidat</x:v>
      </x:c>
      <x:c r="C79" t="str">
        <x:v>Giriş</x:v>
      </x:c>
      <x:c r="D79" s="22" t="n">
        <x:v>2436.08</x:v>
      </x:c>
      <x:c r="E79" s="22" t="n">
        <x:v>0</x:v>
      </x:c>
      <x:c r="F79" s="22" t="n">
        <x:v>41863.11</x:v>
      </x:c>
      <x:c r="G79" t="str">
        <x:v>Aidat</x:v>
      </x:c>
      <x:c r="H79" t="str">
        <x:v>B003-R001-07</x:v>
      </x:c>
    </x:row>
    <x:row r="80">
      <x:c r="A80" s="20" t="n">
        <x:v>46212</x:v>
      </x:c>
      <x:c r="B80" t="str">
        <x:v>Daire 2 - Deniz Yıldız 07/2026 aidat</x:v>
      </x:c>
      <x:c r="C80" t="str">
        <x:v>Giriş</x:v>
      </x:c>
      <x:c r="D80" s="22" t="n">
        <x:v>2436.08</x:v>
      </x:c>
      <x:c r="E80" s="22" t="n">
        <x:v>0</x:v>
      </x:c>
      <x:c r="F80" s="22" t="n">
        <x:v>44299.19</x:v>
      </x:c>
      <x:c r="G80" t="str">
        <x:v>Aidat</x:v>
      </x:c>
      <x:c r="H80" t="str">
        <x:v>B003-R002-07</x:v>
      </x:c>
    </x:row>
    <x:row r="81">
      <x:c r="A81" s="20" t="n">
        <x:v>46212</x:v>
      </x:c>
      <x:c r="B81" t="str">
        <x:v>Daire 3 - Nihan Şahin 07/2026 aidat</x:v>
      </x:c>
      <x:c r="C81" t="str">
        <x:v>Giriş</x:v>
      </x:c>
      <x:c r="D81" s="22" t="n">
        <x:v>2842.1</x:v>
      </x:c>
      <x:c r="E81" s="22" t="n">
        <x:v>0</x:v>
      </x:c>
      <x:c r="F81" s="22" t="n">
        <x:v>47141.29</x:v>
      </x:c>
      <x:c r="G81" t="str">
        <x:v>Aidat</x:v>
      </x:c>
      <x:c r="H81" t="str">
        <x:v>B003-R003-07</x:v>
      </x:c>
    </x:row>
    <x:row r="82">
      <x:c r="A82" s="20" t="n">
        <x:v>46213</x:v>
      </x:c>
      <x:c r="B82" t="str">
        <x:v>Daire 6 - Gül Koç 07/2026 aidat</x:v>
      </x:c>
      <x:c r="C82" t="str">
        <x:v>Giriş</x:v>
      </x:c>
      <x:c r="D82" s="22" t="n">
        <x:v>4276.68</x:v>
      </x:c>
      <x:c r="E82" s="22" t="n">
        <x:v>0</x:v>
      </x:c>
      <x:c r="F82" s="22" t="n">
        <x:v>51417.97</x:v>
      </x:c>
      <x:c r="G82" t="str">
        <x:v>Aidat</x:v>
      </x:c>
      <x:c r="H82" t="str">
        <x:v>B003-R006-07</x:v>
      </x:c>
    </x:row>
    <x:row r="83">
      <x:c r="A83" s="20" t="n">
        <x:v>46215</x:v>
      </x:c>
      <x:c r="B83" t="str">
        <x:v>Daire 8 - Elif Şahin 07/2026 aidat</x:v>
      </x:c>
      <x:c r="C83" t="str">
        <x:v>Giriş</x:v>
      </x:c>
      <x:c r="D83" s="22" t="n">
        <x:v>3193.97</x:v>
      </x:c>
      <x:c r="E83" s="22" t="n">
        <x:v>0</x:v>
      </x:c>
      <x:c r="F83" s="22" t="n">
        <x:v>54611.94</x:v>
      </x:c>
      <x:c r="G83" t="str">
        <x:v>Aidat</x:v>
      </x:c>
      <x:c r="H83" t="str">
        <x:v>B003-R008-07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Ihlamur Apartmanı Sakini Aidat Ekstresi — Kerem Yılmaz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B003-R001</x:v>
      </x:c>
    </x:row>
    <x:row r="4">
      <x:c r="A4" s="7" t="str">
        <x:v>Ad Soyad</x:v>
      </x:c>
      <x:c r="B4" t="str">
        <x:v>Kerem Yılmaz</x:v>
      </x:c>
    </x:row>
    <x:row r="5">
      <x:c r="A5" s="7" t="str">
        <x:v>Daire No</x:v>
      </x:c>
      <x:c r="B5" t="n">
        <x:v>1</x:v>
      </x:c>
    </x:row>
    <x:row r="6">
      <x:c r="A6" s="7" t="str">
        <x:v>Net m²</x:v>
      </x:c>
      <x:c r="B6" s="16" t="n">
        <x:v>90</x:v>
      </x:c>
    </x:row>
    <x:row r="7">
      <x:c r="A7" s="7" t="str">
        <x:v>Ortak Gider Payı</x:v>
      </x:c>
      <x:c r="B7" s="18" t="n">
        <x:v>0.10309278350515463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127.83505154639174</x:v>
      </x:c>
      <x:c r="D11" s="22" t="n">
        <x:v>68.04123711340206</x:v>
      </x:c>
      <x:c r="E11" s="22" t="n">
        <x:v>216.49484536082474</x:v>
      </x:c>
      <x:c r="F11" s="22" t="n">
        <x:v>185.56701030927834</x:v>
      </x:c>
      <x:c r="G11" s="22" t="n">
        <x:v>0</x:v>
      </x:c>
      <x:c r="H11" s="22" t="n">
        <x:v>0</x:v>
      </x:c>
      <x:c r="I11" s="22" t="n">
        <x:v>230.92783505154637</x:v>
      </x:c>
      <x:c r="J11" s="22" t="n">
        <x:v>0</x:v>
      </x:c>
      <x:c r="K11" s="22" t="n">
        <x:v>0</x:v>
      </x:c>
      <x:c r="L11" s="22" t="n">
        <x:v>0</x:v>
      </x:c>
      <x:c r="M11" s="22" t="n">
        <x:v>257.73195876288656</x:v>
      </x:c>
      <x:c r="N11" s="22" t="n">
        <x:v>1086.5979381443299</x:v>
      </x:c>
      <x:c r="O11" s="22" t="n">
        <x:v>1086.6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136.08247422680412</x:v>
      </x:c>
      <x:c r="D12" s="22" t="n">
        <x:v>70.10309278350515</x:v>
      </x:c>
      <x:c r="E12" s="22" t="n">
        <x:v>216.49484536082474</x:v>
      </x:c>
      <x:c r="F12" s="22" t="n">
        <x:v>0</x:v>
      </x:c>
      <x:c r="G12" s="22" t="n">
        <x:v>329.8969072164948</x:v>
      </x:c>
      <x:c r="H12" s="22" t="n">
        <x:v>0</x:v>
      </x:c>
      <x:c r="I12" s="22" t="n">
        <x:v>230.92783505154637</x:v>
      </x:c>
      <x:c r="J12" s="22" t="n">
        <x:v>0</x:v>
      </x:c>
      <x:c r="K12" s="22" t="n">
        <x:v>0</x:v>
      </x:c>
      <x:c r="L12" s="22" t="n">
        <x:v>0</x:v>
      </x:c>
      <x:c r="M12" s="22" t="n">
        <x:v>257.73195876288656</x:v>
      </x:c>
      <x:c r="N12" s="22" t="n">
        <x:v>1241.2371134020618</x:v>
      </x:c>
      <x:c r="O12" s="22" t="n">
        <x:v>1241.24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142.2680412371134</x:v>
      </x:c>
      <x:c r="D13" s="22" t="n">
        <x:v>76.28865979381443</x:v>
      </x:c>
      <x:c r="E13" s="22" t="n">
        <x:v>216.49484536082474</x:v>
      </x:c>
      <x:c r="F13" s="22" t="n">
        <x:v>247.4226804123711</x:v>
      </x:c>
      <x:c r="G13" s="22" t="n">
        <x:v>0</x:v>
      </x:c>
      <x:c r="H13" s="22" t="n">
        <x:v>432.9896907216495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257.73195876288656</x:v>
      </x:c>
      <x:c r="N13" s="22" t="n">
        <x:v>1373.1958762886597</x:v>
      </x:c>
      <x:c r="O13" s="22" t="n">
        <x:v>0</x:v>
      </x:c>
      <x:c r="P13" s="22" t="n">
        <x:v>1373.2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129.89690721649484</x:v>
      </x:c>
      <x:c r="D14" s="22" t="n">
        <x:v>73.19587628865979</x:v>
      </x:c>
      <x:c r="E14" s="22" t="n">
        <x:v>216.49484536082474</x:v>
      </x:c>
      <x:c r="F14" s="22" t="n">
        <x:v>0</x:v>
      </x:c>
      <x:c r="G14" s="22" t="n">
        <x:v>0</x:v>
      </x:c>
      <x:c r="H14" s="22" t="n">
        <x:v>0</x:v>
      </x:c>
      <x:c r="I14" s="22" t="n">
        <x:v>247.4226804123711</x:v>
      </x:c>
      <x:c r="J14" s="22" t="n">
        <x:v>0</x:v>
      </x:c>
      <x:c r="K14" s="22" t="n">
        <x:v>391.7525773195876</x:v>
      </x:c>
      <x:c r="L14" s="22" t="n">
        <x:v>0</x:v>
      </x:c>
      <x:c r="M14" s="22" t="n">
        <x:v>257.73195876288656</x:v>
      </x:c>
      <x:c r="N14" s="22" t="n">
        <x:v>1316.4948453608247</x:v>
      </x:c>
      <x:c r="O14" s="22" t="n">
        <x:v>1316.49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139.17525773195877</x:v>
      </x:c>
      <x:c r="D15" s="22" t="n">
        <x:v>75.25773195876289</x:v>
      </x:c>
      <x:c r="E15" s="22" t="n">
        <x:v>226.8041237113402</x:v>
      </x:c>
      <x:c r="F15" s="22" t="n">
        <x:v>0</x:v>
      </x:c>
      <x:c r="G15" s="22" t="n">
        <x:v>639.1752577319587</x:v>
      </x:c>
      <x:c r="H15" s="22" t="n">
        <x:v>0</x:v>
      </x:c>
      <x:c r="I15" s="22" t="n">
        <x:v>0</x:v>
      </x:c>
      <x:c r="J15" s="22" t="n">
        <x:v>268.0412371134021</x:v>
      </x:c>
      <x:c r="K15" s="22" t="n">
        <x:v>0</x:v>
      </x:c>
      <x:c r="L15" s="22" t="n">
        <x:v>0</x:v>
      </x:c>
      <x:c r="M15" s="22" t="n">
        <x:v>257.73195876288656</x:v>
      </x:c>
      <x:c r="N15" s="22" t="n">
        <x:v>1606.1855670103091</x:v>
      </x:c>
      <x:c r="O15" s="22" t="n">
        <x:v>1606.19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149.48453608247422</x:v>
      </x:c>
      <x:c r="D16" s="22" t="n">
        <x:v>80.41237113402062</x:v>
      </x:c>
      <x:c r="E16" s="22" t="n">
        <x:v>226.8041237113402</x:v>
      </x:c>
      <x:c r="F16" s="22" t="n">
        <x:v>371.1340206185567</x:v>
      </x:c>
      <x:c r="G16" s="22" t="n">
        <x:v>0</x:v>
      </x:c>
      <x:c r="H16" s="22" t="n">
        <x:v>0</x:v>
      </x:c>
      <x:c r="I16" s="22" t="n">
        <x:v>247.4226804123711</x:v>
      </x:c>
      <x:c r="J16" s="22" t="n">
        <x:v>0</x:v>
      </x:c>
      <x:c r="K16" s="22" t="n">
        <x:v>0</x:v>
      </x:c>
      <x:c r="L16" s="22" t="n">
        <x:v>0</x:v>
      </x:c>
      <x:c r="M16" s="22" t="n">
        <x:v>257.73195876288656</x:v>
      </x:c>
      <x:c r="N16" s="22" t="n">
        <x:v>1332.9896907216494</x:v>
      </x:c>
      <x:c r="O16" s="22" t="n">
        <x:v>1332.99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159.79381443298968</x:v>
      </x:c>
      <x:c r="D17" s="22" t="n">
        <x:v>84.5360824742268</x:v>
      </x:c>
      <x:c r="E17" s="22" t="n">
        <x:v>226.8041237113402</x:v>
      </x:c>
      <x:c r="F17" s="22" t="n">
        <x:v>0</x:v>
      </x:c>
      <x:c r="G17" s="22" t="n">
        <x:v>0</x:v>
      </x:c>
      <x:c r="H17" s="22" t="n">
        <x:v>0</x:v>
      </x:c>
      <x:c r="I17" s="22" t="n">
        <x:v>263.91752577319585</x:v>
      </x:c>
      <x:c r="J17" s="22" t="n">
        <x:v>0</x:v>
      </x:c>
      <x:c r="K17" s="22" t="n">
        <x:v>0</x:v>
      </x:c>
      <x:c r="L17" s="22" t="n">
        <x:v>1443.298969072165</x:v>
      </x:c>
      <x:c r="M17" s="22" t="n">
        <x:v>257.73195876288656</x:v>
      </x:c>
      <x:c r="N17" s="22" t="n">
        <x:v>2436.082474226804</x:v>
      </x:c>
      <x:c r="O17" s="22" t="n">
        <x:v>2436.08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Ihlamur Apartmanı Sakini Aidat Ekstresi — Deniz Yıldız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B003-R002</x:v>
      </x:c>
    </x:row>
    <x:row r="4">
      <x:c r="A4" s="7" t="str">
        <x:v>Ad Soyad</x:v>
      </x:c>
      <x:c r="B4" t="str">
        <x:v>Deniz Yıldız</x:v>
      </x:c>
    </x:row>
    <x:row r="5">
      <x:c r="A5" s="7" t="str">
        <x:v>Daire No</x:v>
      </x:c>
      <x:c r="B5" t="n">
        <x:v>2</x:v>
      </x:c>
    </x:row>
    <x:row r="6">
      <x:c r="A6" s="7" t="str">
        <x:v>Net m²</x:v>
      </x:c>
      <x:c r="B6" s="16" t="n">
        <x:v>90</x:v>
      </x:c>
    </x:row>
    <x:row r="7">
      <x:c r="A7" s="7" t="str">
        <x:v>Ortak Gider Payı</x:v>
      </x:c>
      <x:c r="B7" s="18" t="n">
        <x:v>0.10309278350515463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127.83505154639174</x:v>
      </x:c>
      <x:c r="D11" s="22" t="n">
        <x:v>68.04123711340206</x:v>
      </x:c>
      <x:c r="E11" s="22" t="n">
        <x:v>216.49484536082474</x:v>
      </x:c>
      <x:c r="F11" s="22" t="n">
        <x:v>185.56701030927834</x:v>
      </x:c>
      <x:c r="G11" s="22" t="n">
        <x:v>0</x:v>
      </x:c>
      <x:c r="H11" s="22" t="n">
        <x:v>0</x:v>
      </x:c>
      <x:c r="I11" s="22" t="n">
        <x:v>230.92783505154637</x:v>
      </x:c>
      <x:c r="J11" s="22" t="n">
        <x:v>0</x:v>
      </x:c>
      <x:c r="K11" s="22" t="n">
        <x:v>0</x:v>
      </x:c>
      <x:c r="L11" s="22" t="n">
        <x:v>0</x:v>
      </x:c>
      <x:c r="M11" s="22" t="n">
        <x:v>257.73195876288656</x:v>
      </x:c>
      <x:c r="N11" s="22" t="n">
        <x:v>1086.5979381443299</x:v>
      </x:c>
      <x:c r="O11" s="22" t="n">
        <x:v>1086.6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136.08247422680412</x:v>
      </x:c>
      <x:c r="D12" s="22" t="n">
        <x:v>70.10309278350515</x:v>
      </x:c>
      <x:c r="E12" s="22" t="n">
        <x:v>216.49484536082474</x:v>
      </x:c>
      <x:c r="F12" s="22" t="n">
        <x:v>0</x:v>
      </x:c>
      <x:c r="G12" s="22" t="n">
        <x:v>329.8969072164948</x:v>
      </x:c>
      <x:c r="H12" s="22" t="n">
        <x:v>0</x:v>
      </x:c>
      <x:c r="I12" s="22" t="n">
        <x:v>230.92783505154637</x:v>
      </x:c>
      <x:c r="J12" s="22" t="n">
        <x:v>0</x:v>
      </x:c>
      <x:c r="K12" s="22" t="n">
        <x:v>0</x:v>
      </x:c>
      <x:c r="L12" s="22" t="n">
        <x:v>0</x:v>
      </x:c>
      <x:c r="M12" s="22" t="n">
        <x:v>257.73195876288656</x:v>
      </x:c>
      <x:c r="N12" s="22" t="n">
        <x:v>1241.2371134020618</x:v>
      </x:c>
      <x:c r="O12" s="22" t="n">
        <x:v>1241.24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142.2680412371134</x:v>
      </x:c>
      <x:c r="D13" s="22" t="n">
        <x:v>76.28865979381443</x:v>
      </x:c>
      <x:c r="E13" s="22" t="n">
        <x:v>216.49484536082474</x:v>
      </x:c>
      <x:c r="F13" s="22" t="n">
        <x:v>247.4226804123711</x:v>
      </x:c>
      <x:c r="G13" s="22" t="n">
        <x:v>0</x:v>
      </x:c>
      <x:c r="H13" s="22" t="n">
        <x:v>432.9896907216495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257.73195876288656</x:v>
      </x:c>
      <x:c r="N13" s="22" t="n">
        <x:v>1373.1958762886597</x:v>
      </x:c>
      <x:c r="O13" s="22" t="n">
        <x:v>0</x:v>
      </x:c>
      <x:c r="P13" s="22" t="n">
        <x:v>1373.2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129.89690721649484</x:v>
      </x:c>
      <x:c r="D14" s="22" t="n">
        <x:v>73.19587628865979</x:v>
      </x:c>
      <x:c r="E14" s="22" t="n">
        <x:v>216.49484536082474</x:v>
      </x:c>
      <x:c r="F14" s="22" t="n">
        <x:v>0</x:v>
      </x:c>
      <x:c r="G14" s="22" t="n">
        <x:v>0</x:v>
      </x:c>
      <x:c r="H14" s="22" t="n">
        <x:v>0</x:v>
      </x:c>
      <x:c r="I14" s="22" t="n">
        <x:v>247.4226804123711</x:v>
      </x:c>
      <x:c r="J14" s="22" t="n">
        <x:v>0</x:v>
      </x:c>
      <x:c r="K14" s="22" t="n">
        <x:v>391.7525773195876</x:v>
      </x:c>
      <x:c r="L14" s="22" t="n">
        <x:v>0</x:v>
      </x:c>
      <x:c r="M14" s="22" t="n">
        <x:v>257.73195876288656</x:v>
      </x:c>
      <x:c r="N14" s="22" t="n">
        <x:v>1316.4948453608247</x:v>
      </x:c>
      <x:c r="O14" s="22" t="n">
        <x:v>1316.49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139.17525773195877</x:v>
      </x:c>
      <x:c r="D15" s="22" t="n">
        <x:v>75.25773195876289</x:v>
      </x:c>
      <x:c r="E15" s="22" t="n">
        <x:v>226.8041237113402</x:v>
      </x:c>
      <x:c r="F15" s="22" t="n">
        <x:v>0</x:v>
      </x:c>
      <x:c r="G15" s="22" t="n">
        <x:v>639.1752577319587</x:v>
      </x:c>
      <x:c r="H15" s="22" t="n">
        <x:v>0</x:v>
      </x:c>
      <x:c r="I15" s="22" t="n">
        <x:v>0</x:v>
      </x:c>
      <x:c r="J15" s="22" t="n">
        <x:v>268.0412371134021</x:v>
      </x:c>
      <x:c r="K15" s="22" t="n">
        <x:v>0</x:v>
      </x:c>
      <x:c r="L15" s="22" t="n">
        <x:v>0</x:v>
      </x:c>
      <x:c r="M15" s="22" t="n">
        <x:v>257.73195876288656</x:v>
      </x:c>
      <x:c r="N15" s="22" t="n">
        <x:v>1606.1855670103091</x:v>
      </x:c>
      <x:c r="O15" s="22" t="n">
        <x:v>1606.19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149.48453608247422</x:v>
      </x:c>
      <x:c r="D16" s="22" t="n">
        <x:v>80.41237113402062</x:v>
      </x:c>
      <x:c r="E16" s="22" t="n">
        <x:v>226.8041237113402</x:v>
      </x:c>
      <x:c r="F16" s="22" t="n">
        <x:v>371.1340206185567</x:v>
      </x:c>
      <x:c r="G16" s="22" t="n">
        <x:v>0</x:v>
      </x:c>
      <x:c r="H16" s="22" t="n">
        <x:v>0</x:v>
      </x:c>
      <x:c r="I16" s="22" t="n">
        <x:v>247.4226804123711</x:v>
      </x:c>
      <x:c r="J16" s="22" t="n">
        <x:v>0</x:v>
      </x:c>
      <x:c r="K16" s="22" t="n">
        <x:v>0</x:v>
      </x:c>
      <x:c r="L16" s="22" t="n">
        <x:v>0</x:v>
      </x:c>
      <x:c r="M16" s="22" t="n">
        <x:v>257.73195876288656</x:v>
      </x:c>
      <x:c r="N16" s="22" t="n">
        <x:v>1332.9896907216494</x:v>
      </x:c>
      <x:c r="O16" s="22" t="n">
        <x:v>1332.99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159.79381443298968</x:v>
      </x:c>
      <x:c r="D17" s="22" t="n">
        <x:v>84.5360824742268</x:v>
      </x:c>
      <x:c r="E17" s="22" t="n">
        <x:v>226.8041237113402</x:v>
      </x:c>
      <x:c r="F17" s="22" t="n">
        <x:v>0</x:v>
      </x:c>
      <x:c r="G17" s="22" t="n">
        <x:v>0</x:v>
      </x:c>
      <x:c r="H17" s="22" t="n">
        <x:v>0</x:v>
      </x:c>
      <x:c r="I17" s="22" t="n">
        <x:v>263.91752577319585</x:v>
      </x:c>
      <x:c r="J17" s="22" t="n">
        <x:v>0</x:v>
      </x:c>
      <x:c r="K17" s="22" t="n">
        <x:v>0</x:v>
      </x:c>
      <x:c r="L17" s="22" t="n">
        <x:v>1443.298969072165</x:v>
      </x:c>
      <x:c r="M17" s="22" t="n">
        <x:v>257.73195876288656</x:v>
      </x:c>
      <x:c r="N17" s="22" t="n">
        <x:v>2436.082474226804</x:v>
      </x:c>
      <x:c r="O17" s="22" t="n">
        <x:v>2436.08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Ihlamur Apartmanı Sakini Aidat Ekstresi — Nihan Şahin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B003-R003</x:v>
      </x:c>
    </x:row>
    <x:row r="4">
      <x:c r="A4" s="7" t="str">
        <x:v>Ad Soyad</x:v>
      </x:c>
      <x:c r="B4" t="str">
        <x:v>Nihan Şahin</x:v>
      </x:c>
    </x:row>
    <x:row r="5">
      <x:c r="A5" s="7" t="str">
        <x:v>Daire No</x:v>
      </x:c>
      <x:c r="B5" t="n">
        <x:v>3</x:v>
      </x:c>
    </x:row>
    <x:row r="6">
      <x:c r="A6" s="7" t="str">
        <x:v>Net m²</x:v>
      </x:c>
      <x:c r="B6" s="16" t="n">
        <x:v>105</x:v>
      </x:c>
    </x:row>
    <x:row r="7">
      <x:c r="A7" s="7" t="str">
        <x:v>Ortak Gider Payı</x:v>
      </x:c>
      <x:c r="B7" s="18" t="n">
        <x:v>0.12027491408934708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149.1408934707904</x:v>
      </x:c>
      <x:c r="D11" s="22" t="n">
        <x:v>79.38144329896907</x:v>
      </x:c>
      <x:c r="E11" s="22" t="n">
        <x:v>252.57731958762886</x:v>
      </x:c>
      <x:c r="F11" s="22" t="n">
        <x:v>216.49484536082474</x:v>
      </x:c>
      <x:c r="G11" s="22" t="n">
        <x:v>0</x:v>
      </x:c>
      <x:c r="H11" s="22" t="n">
        <x:v>0</x:v>
      </x:c>
      <x:c r="I11" s="22" t="n">
        <x:v>269.41580756013747</x:v>
      </x:c>
      <x:c r="J11" s="22" t="n">
        <x:v>0</x:v>
      </x:c>
      <x:c r="K11" s="22" t="n">
        <x:v>0</x:v>
      </x:c>
      <x:c r="L11" s="22" t="n">
        <x:v>0</x:v>
      </x:c>
      <x:c r="M11" s="22" t="n">
        <x:v>300.6872852233677</x:v>
      </x:c>
      <x:c r="N11" s="22" t="n">
        <x:v>1267.6975945017182</x:v>
      </x:c>
      <x:c r="O11" s="22" t="n">
        <x:v>1267.7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158.76288659793815</x:v>
      </x:c>
      <x:c r="D12" s="22" t="n">
        <x:v>81.78694158075602</x:v>
      </x:c>
      <x:c r="E12" s="22" t="n">
        <x:v>252.57731958762886</x:v>
      </x:c>
      <x:c r="F12" s="22" t="n">
        <x:v>0</x:v>
      </x:c>
      <x:c r="G12" s="22" t="n">
        <x:v>384.87972508591065</x:v>
      </x:c>
      <x:c r="H12" s="22" t="n">
        <x:v>0</x:v>
      </x:c>
      <x:c r="I12" s="22" t="n">
        <x:v>269.41580756013747</x:v>
      </x:c>
      <x:c r="J12" s="22" t="n">
        <x:v>0</x:v>
      </x:c>
      <x:c r="K12" s="22" t="n">
        <x:v>0</x:v>
      </x:c>
      <x:c r="L12" s="22" t="n">
        <x:v>0</x:v>
      </x:c>
      <x:c r="M12" s="22" t="n">
        <x:v>300.6872852233677</x:v>
      </x:c>
      <x:c r="N12" s="22" t="n">
        <x:v>1448.109965635739</x:v>
      </x:c>
      <x:c r="O12" s="22" t="n">
        <x:v>1448.11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165.97938144329896</x:v>
      </x:c>
      <x:c r="D13" s="22" t="n">
        <x:v>89.00343642611683</x:v>
      </x:c>
      <x:c r="E13" s="22" t="n">
        <x:v>252.57731958762886</x:v>
      </x:c>
      <x:c r="F13" s="22" t="n">
        <x:v>288.659793814433</x:v>
      </x:c>
      <x:c r="G13" s="22" t="n">
        <x:v>0</x:v>
      </x:c>
      <x:c r="H13" s="22" t="n">
        <x:v>505.1546391752577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300.6872852233677</x:v>
      </x:c>
      <x:c r="N13" s="22" t="n">
        <x:v>1602.0618556701031</x:v>
      </x:c>
      <x:c r="O13" s="22" t="n">
        <x:v>1602.06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151.54639175257734</x:v>
      </x:c>
      <x:c r="D14" s="22" t="n">
        <x:v>85.39518900343643</x:v>
      </x:c>
      <x:c r="E14" s="22" t="n">
        <x:v>252.57731958762886</x:v>
      </x:c>
      <x:c r="F14" s="22" t="n">
        <x:v>0</x:v>
      </x:c>
      <x:c r="G14" s="22" t="n">
        <x:v>0</x:v>
      </x:c>
      <x:c r="H14" s="22" t="n">
        <x:v>0</x:v>
      </x:c>
      <x:c r="I14" s="22" t="n">
        <x:v>288.659793814433</x:v>
      </x:c>
      <x:c r="J14" s="22" t="n">
        <x:v>0</x:v>
      </x:c>
      <x:c r="K14" s="22" t="n">
        <x:v>457.0446735395189</x:v>
      </x:c>
      <x:c r="L14" s="22" t="n">
        <x:v>0</x:v>
      </x:c>
      <x:c r="M14" s="22" t="n">
        <x:v>300.6872852233677</x:v>
      </x:c>
      <x:c r="N14" s="22" t="n">
        <x:v>1535.9106529209623</x:v>
      </x:c>
      <x:c r="O14" s="22" t="n">
        <x:v>1535.91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162.37113402061857</x:v>
      </x:c>
      <x:c r="D15" s="22" t="n">
        <x:v>87.80068728522338</x:v>
      </x:c>
      <x:c r="E15" s="22" t="n">
        <x:v>264.6048109965636</x:v>
      </x:c>
      <x:c r="F15" s="22" t="n">
        <x:v>0</x:v>
      </x:c>
      <x:c r="G15" s="22" t="n">
        <x:v>745.7044673539519</x:v>
      </x:c>
      <x:c r="H15" s="22" t="n">
        <x:v>0</x:v>
      </x:c>
      <x:c r="I15" s="22" t="n">
        <x:v>0</x:v>
      </x:c>
      <x:c r="J15" s="22" t="n">
        <x:v>312.7147766323024</x:v>
      </x:c>
      <x:c r="K15" s="22" t="n">
        <x:v>0</x:v>
      </x:c>
      <x:c r="L15" s="22" t="n">
        <x:v>0</x:v>
      </x:c>
      <x:c r="M15" s="22" t="n">
        <x:v>300.6872852233677</x:v>
      </x:c>
      <x:c r="N15" s="22" t="n">
        <x:v>1873.8831615120275</x:v>
      </x:c>
      <x:c r="O15" s="22" t="n">
        <x:v>1873.88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174.39862542955328</x:v>
      </x:c>
      <x:c r="D16" s="22" t="n">
        <x:v>93.81443298969073</x:v>
      </x:c>
      <x:c r="E16" s="22" t="n">
        <x:v>264.6048109965636</x:v>
      </x:c>
      <x:c r="F16" s="22" t="n">
        <x:v>432.9896907216495</x:v>
      </x:c>
      <x:c r="G16" s="22" t="n">
        <x:v>0</x:v>
      </x:c>
      <x:c r="H16" s="22" t="n">
        <x:v>0</x:v>
      </x:c>
      <x:c r="I16" s="22" t="n">
        <x:v>288.659793814433</x:v>
      </x:c>
      <x:c r="J16" s="22" t="n">
        <x:v>0</x:v>
      </x:c>
      <x:c r="K16" s="22" t="n">
        <x:v>0</x:v>
      </x:c>
      <x:c r="L16" s="22" t="n">
        <x:v>0</x:v>
      </x:c>
      <x:c r="M16" s="22" t="n">
        <x:v>300.6872852233677</x:v>
      </x:c>
      <x:c r="N16" s="22" t="n">
        <x:v>1555.1546391752577</x:v>
      </x:c>
      <x:c r="O16" s="22" t="n">
        <x:v>1555.15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186.42611683848799</x:v>
      </x:c>
      <x:c r="D17" s="22" t="n">
        <x:v>98.62542955326461</x:v>
      </x:c>
      <x:c r="E17" s="22" t="n">
        <x:v>264.6048109965636</x:v>
      </x:c>
      <x:c r="F17" s="22" t="n">
        <x:v>0</x:v>
      </x:c>
      <x:c r="G17" s="22" t="n">
        <x:v>0</x:v>
      </x:c>
      <x:c r="H17" s="22" t="n">
        <x:v>0</x:v>
      </x:c>
      <x:c r="I17" s="22" t="n">
        <x:v>307.9037800687285</x:v>
      </x:c>
      <x:c r="J17" s="22" t="n">
        <x:v>0</x:v>
      </x:c>
      <x:c r="K17" s="22" t="n">
        <x:v>0</x:v>
      </x:c>
      <x:c r="L17" s="22" t="n">
        <x:v>1683.8487972508592</x:v>
      </x:c>
      <x:c r="M17" s="22" t="n">
        <x:v>300.6872852233677</x:v>
      </x:c>
      <x:c r="N17" s="22" t="n">
        <x:v>2842.0962199312717</x:v>
      </x:c>
      <x:c r="O17" s="22" t="n">
        <x:v>2842.1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Ihlamur Apartmanı Sakini Aidat Ekstresi — Deniz Karaca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B003-R004</x:v>
      </x:c>
    </x:row>
    <x:row r="4">
      <x:c r="A4" s="7" t="str">
        <x:v>Ad Soyad</x:v>
      </x:c>
      <x:c r="B4" t="str">
        <x:v>Deniz Karaca</x:v>
      </x:c>
    </x:row>
    <x:row r="5">
      <x:c r="A5" s="7" t="str">
        <x:v>Daire No</x:v>
      </x:c>
      <x:c r="B5" t="n">
        <x:v>4</x:v>
      </x:c>
    </x:row>
    <x:row r="6">
      <x:c r="A6" s="7" t="str">
        <x:v>Net m²</x:v>
      </x:c>
      <x:c r="B6" s="16" t="n">
        <x:v>96</x:v>
      </x:c>
    </x:row>
    <x:row r="7">
      <x:c r="A7" s="7" t="str">
        <x:v>Ortak Gider Payı</x:v>
      </x:c>
      <x:c r="B7" s="18" t="n">
        <x:v>0.10996563573883161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136.3573883161512</x:v>
      </x:c>
      <x:c r="D11" s="22" t="n">
        <x:v>72.57731958762886</x:v>
      </x:c>
      <x:c r="E11" s="22" t="n">
        <x:v>230.9278350515464</x:v>
      </x:c>
      <x:c r="F11" s="22" t="n">
        <x:v>197.93814432989691</x:v>
      </x:c>
      <x:c r="G11" s="22" t="n">
        <x:v>0</x:v>
      </x:c>
      <x:c r="H11" s="22" t="n">
        <x:v>0</x:v>
      </x:c>
      <x:c r="I11" s="22" t="n">
        <x:v>246.32302405498282</x:v>
      </x:c>
      <x:c r="J11" s="22" t="n">
        <x:v>0</x:v>
      </x:c>
      <x:c r="K11" s="22" t="n">
        <x:v>0</x:v>
      </x:c>
      <x:c r="L11" s="22" t="n">
        <x:v>0</x:v>
      </x:c>
      <x:c r="M11" s="22" t="n">
        <x:v>274.914089347079</x:v>
      </x:c>
      <x:c r="N11" s="22" t="n">
        <x:v>1159.0378006872852</x:v>
      </x:c>
      <x:c r="O11" s="22" t="n">
        <x:v>1159.04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145.15463917525773</x:v>
      </x:c>
      <x:c r="D12" s="22" t="n">
        <x:v>74.7766323024055</x:v>
      </x:c>
      <x:c r="E12" s="22" t="n">
        <x:v>230.9278350515464</x:v>
      </x:c>
      <x:c r="F12" s="22" t="n">
        <x:v>0</x:v>
      </x:c>
      <x:c r="G12" s="22" t="n">
        <x:v>351.89003436426117</x:v>
      </x:c>
      <x:c r="H12" s="22" t="n">
        <x:v>0</x:v>
      </x:c>
      <x:c r="I12" s="22" t="n">
        <x:v>246.32302405498282</x:v>
      </x:c>
      <x:c r="J12" s="22" t="n">
        <x:v>0</x:v>
      </x:c>
      <x:c r="K12" s="22" t="n">
        <x:v>0</x:v>
      </x:c>
      <x:c r="L12" s="22" t="n">
        <x:v>0</x:v>
      </x:c>
      <x:c r="M12" s="22" t="n">
        <x:v>274.914089347079</x:v>
      </x:c>
      <x:c r="N12" s="22" t="n">
        <x:v>1323.9862542955327</x:v>
      </x:c>
      <x:c r="O12" s="22" t="n">
        <x:v>1323.99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151.75257731958763</x:v>
      </x:c>
      <x:c r="D13" s="22" t="n">
        <x:v>81.37457044673539</x:v>
      </x:c>
      <x:c r="E13" s="22" t="n">
        <x:v>230.9278350515464</x:v>
      </x:c>
      <x:c r="F13" s="22" t="n">
        <x:v>263.91752577319585</x:v>
      </x:c>
      <x:c r="G13" s="22" t="n">
        <x:v>0</x:v>
      </x:c>
      <x:c r="H13" s="22" t="n">
        <x:v>461.8556701030928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274.914089347079</x:v>
      </x:c>
      <x:c r="N13" s="22" t="n">
        <x:v>1464.7422680412371</x:v>
      </x:c>
      <x:c r="O13" s="22" t="n">
        <x:v>1464.74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138.55670103092783</x:v>
      </x:c>
      <x:c r="D14" s="22" t="n">
        <x:v>78.07560137457044</x:v>
      </x:c>
      <x:c r="E14" s="22" t="n">
        <x:v>230.9278350515464</x:v>
      </x:c>
      <x:c r="F14" s="22" t="n">
        <x:v>0</x:v>
      </x:c>
      <x:c r="G14" s="22" t="n">
        <x:v>0</x:v>
      </x:c>
      <x:c r="H14" s="22" t="n">
        <x:v>0</x:v>
      </x:c>
      <x:c r="I14" s="22" t="n">
        <x:v>263.91752577319585</x:v>
      </x:c>
      <x:c r="J14" s="22" t="n">
        <x:v>0</x:v>
      </x:c>
      <x:c r="K14" s="22" t="n">
        <x:v>417.86941580756013</x:v>
      </x:c>
      <x:c r="L14" s="22" t="n">
        <x:v>0</x:v>
      </x:c>
      <x:c r="M14" s="22" t="n">
        <x:v>274.914089347079</x:v>
      </x:c>
      <x:c r="N14" s="22" t="n">
        <x:v>1404.2611683848797</x:v>
      </x:c>
      <x:c r="O14" s="22" t="n">
        <x:v>1404.26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148.45360824742266</x:v>
      </x:c>
      <x:c r="D15" s="22" t="n">
        <x:v>80.27491408934708</x:v>
      </x:c>
      <x:c r="E15" s="22" t="n">
        <x:v>241.92439862542955</x:v>
      </x:c>
      <x:c r="F15" s="22" t="n">
        <x:v>0</x:v>
      </x:c>
      <x:c r="G15" s="22" t="n">
        <x:v>681.786941580756</x:v>
      </x:c>
      <x:c r="H15" s="22" t="n">
        <x:v>0</x:v>
      </x:c>
      <x:c r="I15" s="22" t="n">
        <x:v>0</x:v>
      </x:c>
      <x:c r="J15" s="22" t="n">
        <x:v>285.9106529209622</x:v>
      </x:c>
      <x:c r="K15" s="22" t="n">
        <x:v>0</x:v>
      </x:c>
      <x:c r="L15" s="22" t="n">
        <x:v>0</x:v>
      </x:c>
      <x:c r="M15" s="22" t="n">
        <x:v>274.914089347079</x:v>
      </x:c>
      <x:c r="N15" s="22" t="n">
        <x:v>1713.2646048109964</x:v>
      </x:c>
      <x:c r="O15" s="22" t="n">
        <x:v>856.63</x:v>
      </x:c>
      <x:c r="P15" s="22" t="n">
        <x:v>856.63</x:v>
      </x:c>
      <x:c r="Q15" t="str">
        <x:v>Kısmi Ödeme</x:v>
      </x:c>
    </x:row>
    <x:row r="16">
      <x:c r="A16" s="24" t="n">
        <x:v>46174</x:v>
      </x:c>
      <x:c r="B16" s="24" t="n">
        <x:v>46143</x:v>
      </x:c>
      <x:c r="C16" s="22" t="n">
        <x:v>159.45017182130584</x:v>
      </x:c>
      <x:c r="D16" s="22" t="n">
        <x:v>85.77319587628865</x:v>
      </x:c>
      <x:c r="E16" s="22" t="n">
        <x:v>241.92439862542955</x:v>
      </x:c>
      <x:c r="F16" s="22" t="n">
        <x:v>395.87628865979383</x:v>
      </x:c>
      <x:c r="G16" s="22" t="n">
        <x:v>0</x:v>
      </x:c>
      <x:c r="H16" s="22" t="n">
        <x:v>0</x:v>
      </x:c>
      <x:c r="I16" s="22" t="n">
        <x:v>263.91752577319585</x:v>
      </x:c>
      <x:c r="J16" s="22" t="n">
        <x:v>0</x:v>
      </x:c>
      <x:c r="K16" s="22" t="n">
        <x:v>0</x:v>
      </x:c>
      <x:c r="L16" s="22" t="n">
        <x:v>0</x:v>
      </x:c>
      <x:c r="M16" s="22" t="n">
        <x:v>274.914089347079</x:v>
      </x:c>
      <x:c r="N16" s="22" t="n">
        <x:v>1421.8556701030927</x:v>
      </x:c>
      <x:c r="O16" s="22" t="n">
        <x:v>1421.86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170.446735395189</x:v>
      </x:c>
      <x:c r="D17" s="22" t="n">
        <x:v>90.17182130584192</x:v>
      </x:c>
      <x:c r="E17" s="22" t="n">
        <x:v>241.92439862542955</x:v>
      </x:c>
      <x:c r="F17" s="22" t="n">
        <x:v>0</x:v>
      </x:c>
      <x:c r="G17" s="22" t="n">
        <x:v>0</x:v>
      </x:c>
      <x:c r="H17" s="22" t="n">
        <x:v>0</x:v>
      </x:c>
      <x:c r="I17" s="22" t="n">
        <x:v>281.51202749140896</x:v>
      </x:c>
      <x:c r="J17" s="22" t="n">
        <x:v>0</x:v>
      </x:c>
      <x:c r="K17" s="22" t="n">
        <x:v>0</x:v>
      </x:c>
      <x:c r="L17" s="22" t="n">
        <x:v>1539.5189003436426</x:v>
      </x:c>
      <x:c r="M17" s="22" t="n">
        <x:v>274.914089347079</x:v>
      </x:c>
      <x:c r="N17" s="22" t="n">
        <x:v>2598.487972508591</x:v>
      </x:c>
      <x:c r="O17" s="22" t="n">
        <x:v>0</x:v>
      </x:c>
      <x:c r="P17" s="22" t="n">
        <x:v>2598.49</x:v>
      </x:c>
      <x:c r="Q17" t="str">
        <x:v>Ödenmedi</x:v>
      </x:c>
    </x:row>
  </x:sheetData>
  <x:mergeCells>
    <x:mergeCell ref="A1:Q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Ihlamur Apartmanı Sakini Aidat Ekstresi — Murat Aksoy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B003-R005</x:v>
      </x:c>
    </x:row>
    <x:row r="4">
      <x:c r="A4" s="7" t="str">
        <x:v>Ad Soyad</x:v>
      </x:c>
      <x:c r="B4" t="str">
        <x:v>Murat Aksoy</x:v>
      </x:c>
    </x:row>
    <x:row r="5">
      <x:c r="A5" s="7" t="str">
        <x:v>Daire No</x:v>
      </x:c>
      <x:c r="B5" t="n">
        <x:v>5</x:v>
      </x:c>
    </x:row>
    <x:row r="6">
      <x:c r="A6" s="7" t="str">
        <x:v>Net m²</x:v>
      </x:c>
      <x:c r="B6" s="16" t="n">
        <x:v>90</x:v>
      </x:c>
    </x:row>
    <x:row r="7">
      <x:c r="A7" s="7" t="str">
        <x:v>Ortak Gider Payı</x:v>
      </x:c>
      <x:c r="B7" s="18" t="n">
        <x:v>0.10309278350515463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127.83505154639174</x:v>
      </x:c>
      <x:c r="D11" s="22" t="n">
        <x:v>68.04123711340206</x:v>
      </x:c>
      <x:c r="E11" s="22" t="n">
        <x:v>216.49484536082474</x:v>
      </x:c>
      <x:c r="F11" s="22" t="n">
        <x:v>185.56701030927834</x:v>
      </x:c>
      <x:c r="G11" s="22" t="n">
        <x:v>0</x:v>
      </x:c>
      <x:c r="H11" s="22" t="n">
        <x:v>0</x:v>
      </x:c>
      <x:c r="I11" s="22" t="n">
        <x:v>230.92783505154637</x:v>
      </x:c>
      <x:c r="J11" s="22" t="n">
        <x:v>0</x:v>
      </x:c>
      <x:c r="K11" s="22" t="n">
        <x:v>0</x:v>
      </x:c>
      <x:c r="L11" s="22" t="n">
        <x:v>0</x:v>
      </x:c>
      <x:c r="M11" s="22" t="n">
        <x:v>257.73195876288656</x:v>
      </x:c>
      <x:c r="N11" s="22" t="n">
        <x:v>1086.5979381443299</x:v>
      </x:c>
      <x:c r="O11" s="22" t="n">
        <x:v>1086.6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136.08247422680412</x:v>
      </x:c>
      <x:c r="D12" s="22" t="n">
        <x:v>70.10309278350515</x:v>
      </x:c>
      <x:c r="E12" s="22" t="n">
        <x:v>216.49484536082474</x:v>
      </x:c>
      <x:c r="F12" s="22" t="n">
        <x:v>0</x:v>
      </x:c>
      <x:c r="G12" s="22" t="n">
        <x:v>329.8969072164948</x:v>
      </x:c>
      <x:c r="H12" s="22" t="n">
        <x:v>0</x:v>
      </x:c>
      <x:c r="I12" s="22" t="n">
        <x:v>230.92783505154637</x:v>
      </x:c>
      <x:c r="J12" s="22" t="n">
        <x:v>0</x:v>
      </x:c>
      <x:c r="K12" s="22" t="n">
        <x:v>0</x:v>
      </x:c>
      <x:c r="L12" s="22" t="n">
        <x:v>0</x:v>
      </x:c>
      <x:c r="M12" s="22" t="n">
        <x:v>257.73195876288656</x:v>
      </x:c>
      <x:c r="N12" s="22" t="n">
        <x:v>1241.2371134020618</x:v>
      </x:c>
      <x:c r="O12" s="22" t="n">
        <x:v>1241.24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142.2680412371134</x:v>
      </x:c>
      <x:c r="D13" s="22" t="n">
        <x:v>76.28865979381443</x:v>
      </x:c>
      <x:c r="E13" s="22" t="n">
        <x:v>216.49484536082474</x:v>
      </x:c>
      <x:c r="F13" s="22" t="n">
        <x:v>247.4226804123711</x:v>
      </x:c>
      <x:c r="G13" s="22" t="n">
        <x:v>0</x:v>
      </x:c>
      <x:c r="H13" s="22" t="n">
        <x:v>432.9896907216495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257.73195876288656</x:v>
      </x:c>
      <x:c r="N13" s="22" t="n">
        <x:v>1373.1958762886597</x:v>
      </x:c>
      <x:c r="O13" s="22" t="n">
        <x:v>0</x:v>
      </x:c>
      <x:c r="P13" s="22" t="n">
        <x:v>1373.2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129.89690721649484</x:v>
      </x:c>
      <x:c r="D14" s="22" t="n">
        <x:v>73.19587628865979</x:v>
      </x:c>
      <x:c r="E14" s="22" t="n">
        <x:v>216.49484536082474</x:v>
      </x:c>
      <x:c r="F14" s="22" t="n">
        <x:v>0</x:v>
      </x:c>
      <x:c r="G14" s="22" t="n">
        <x:v>0</x:v>
      </x:c>
      <x:c r="H14" s="22" t="n">
        <x:v>0</x:v>
      </x:c>
      <x:c r="I14" s="22" t="n">
        <x:v>247.4226804123711</x:v>
      </x:c>
      <x:c r="J14" s="22" t="n">
        <x:v>0</x:v>
      </x:c>
      <x:c r="K14" s="22" t="n">
        <x:v>391.7525773195876</x:v>
      </x:c>
      <x:c r="L14" s="22" t="n">
        <x:v>0</x:v>
      </x:c>
      <x:c r="M14" s="22" t="n">
        <x:v>257.73195876288656</x:v>
      </x:c>
      <x:c r="N14" s="22" t="n">
        <x:v>1316.4948453608247</x:v>
      </x:c>
      <x:c r="O14" s="22" t="n">
        <x:v>1316.49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139.17525773195877</x:v>
      </x:c>
      <x:c r="D15" s="22" t="n">
        <x:v>75.25773195876289</x:v>
      </x:c>
      <x:c r="E15" s="22" t="n">
        <x:v>226.8041237113402</x:v>
      </x:c>
      <x:c r="F15" s="22" t="n">
        <x:v>0</x:v>
      </x:c>
      <x:c r="G15" s="22" t="n">
        <x:v>639.1752577319587</x:v>
      </x:c>
      <x:c r="H15" s="22" t="n">
        <x:v>0</x:v>
      </x:c>
      <x:c r="I15" s="22" t="n">
        <x:v>0</x:v>
      </x:c>
      <x:c r="J15" s="22" t="n">
        <x:v>268.0412371134021</x:v>
      </x:c>
      <x:c r="K15" s="22" t="n">
        <x:v>0</x:v>
      </x:c>
      <x:c r="L15" s="22" t="n">
        <x:v>0</x:v>
      </x:c>
      <x:c r="M15" s="22" t="n">
        <x:v>257.73195876288656</x:v>
      </x:c>
      <x:c r="N15" s="22" t="n">
        <x:v>1606.1855670103091</x:v>
      </x:c>
      <x:c r="O15" s="22" t="n">
        <x:v>1606.19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149.48453608247422</x:v>
      </x:c>
      <x:c r="D16" s="22" t="n">
        <x:v>80.41237113402062</x:v>
      </x:c>
      <x:c r="E16" s="22" t="n">
        <x:v>226.8041237113402</x:v>
      </x:c>
      <x:c r="F16" s="22" t="n">
        <x:v>371.1340206185567</x:v>
      </x:c>
      <x:c r="G16" s="22" t="n">
        <x:v>0</x:v>
      </x:c>
      <x:c r="H16" s="22" t="n">
        <x:v>0</x:v>
      </x:c>
      <x:c r="I16" s="22" t="n">
        <x:v>247.4226804123711</x:v>
      </x:c>
      <x:c r="J16" s="22" t="n">
        <x:v>0</x:v>
      </x:c>
      <x:c r="K16" s="22" t="n">
        <x:v>0</x:v>
      </x:c>
      <x:c r="L16" s="22" t="n">
        <x:v>0</x:v>
      </x:c>
      <x:c r="M16" s="22" t="n">
        <x:v>257.73195876288656</x:v>
      </x:c>
      <x:c r="N16" s="22" t="n">
        <x:v>1332.9896907216494</x:v>
      </x:c>
      <x:c r="O16" s="22" t="n">
        <x:v>1332.99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159.79381443298968</x:v>
      </x:c>
      <x:c r="D17" s="22" t="n">
        <x:v>84.5360824742268</x:v>
      </x:c>
      <x:c r="E17" s="22" t="n">
        <x:v>226.8041237113402</x:v>
      </x:c>
      <x:c r="F17" s="22" t="n">
        <x:v>0</x:v>
      </x:c>
      <x:c r="G17" s="22" t="n">
        <x:v>0</x:v>
      </x:c>
      <x:c r="H17" s="22" t="n">
        <x:v>0</x:v>
      </x:c>
      <x:c r="I17" s="22" t="n">
        <x:v>263.91752577319585</x:v>
      </x:c>
      <x:c r="J17" s="22" t="n">
        <x:v>0</x:v>
      </x:c>
      <x:c r="K17" s="22" t="n">
        <x:v>0</x:v>
      </x:c>
      <x:c r="L17" s="22" t="n">
        <x:v>1443.298969072165</x:v>
      </x:c>
      <x:c r="M17" s="22" t="n">
        <x:v>257.73195876288656</x:v>
      </x:c>
      <x:c r="N17" s="22" t="n">
        <x:v>2436.082474226804</x:v>
      </x:c>
      <x:c r="O17" s="22" t="n">
        <x:v>2436.08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Ihlamur Apartmanı Sakini Aidat Ekstresi — Gül Koç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B003-R006</x:v>
      </x:c>
    </x:row>
    <x:row r="4">
      <x:c r="A4" s="7" t="str">
        <x:v>Ad Soyad</x:v>
      </x:c>
      <x:c r="B4" t="str">
        <x:v>Gül Koç</x:v>
      </x:c>
    </x:row>
    <x:row r="5">
      <x:c r="A5" s="7" t="str">
        <x:v>Daire No</x:v>
      </x:c>
      <x:c r="B5" t="n">
        <x:v>6</x:v>
      </x:c>
    </x:row>
    <x:row r="6">
      <x:c r="A6" s="7" t="str">
        <x:v>Net m²</x:v>
      </x:c>
      <x:c r="B6" s="16" t="n">
        <x:v>158</x:v>
      </x:c>
    </x:row>
    <x:row r="7">
      <x:c r="A7" s="7" t="str">
        <x:v>Ortak Gider Payı</x:v>
      </x:c>
      <x:c r="B7" s="18" t="n">
        <x:v>0.18098510882016036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224.42153493699885</x:v>
      </x:c>
      <x:c r="D11" s="22" t="n">
        <x:v>119.45017182130584</x:v>
      </x:c>
      <x:c r="E11" s="22" t="n">
        <x:v>380.06872852233676</x:v>
      </x:c>
      <x:c r="F11" s="22" t="n">
        <x:v>325.77319587628864</x:v>
      </x:c>
      <x:c r="G11" s="22" t="n">
        <x:v>0</x:v>
      </x:c>
      <x:c r="H11" s="22" t="n">
        <x:v>0</x:v>
      </x:c>
      <x:c r="I11" s="22" t="n">
        <x:v>405.4066437571592</x:v>
      </x:c>
      <x:c r="J11" s="22" t="n">
        <x:v>0</x:v>
      </x:c>
      <x:c r="K11" s="22" t="n">
        <x:v>0</x:v>
      </x:c>
      <x:c r="L11" s="22" t="n">
        <x:v>0</x:v>
      </x:c>
      <x:c r="M11" s="22" t="n">
        <x:v>452.46277205040093</x:v>
      </x:c>
      <x:c r="N11" s="22" t="n">
        <x:v>1907.5830469644902</x:v>
      </x:c>
      <x:c r="O11" s="22" t="n">
        <x:v>1907.58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238.9003436426117</x:v>
      </x:c>
      <x:c r="D12" s="22" t="n">
        <x:v>123.06987399770905</x:v>
      </x:c>
      <x:c r="E12" s="22" t="n">
        <x:v>380.06872852233676</x:v>
      </x:c>
      <x:c r="F12" s="22" t="n">
        <x:v>0</x:v>
      </x:c>
      <x:c r="G12" s="22" t="n">
        <x:v>579.1523482245132</x:v>
      </x:c>
      <x:c r="H12" s="22" t="n">
        <x:v>0</x:v>
      </x:c>
      <x:c r="I12" s="22" t="n">
        <x:v>405.4066437571592</x:v>
      </x:c>
      <x:c r="J12" s="22" t="n">
        <x:v>0</x:v>
      </x:c>
      <x:c r="K12" s="22" t="n">
        <x:v>0</x:v>
      </x:c>
      <x:c r="L12" s="22" t="n">
        <x:v>0</x:v>
      </x:c>
      <x:c r="M12" s="22" t="n">
        <x:v>452.46277205040093</x:v>
      </x:c>
      <x:c r="N12" s="22" t="n">
        <x:v>2179.0607101947307</x:v>
      </x:c>
      <x:c r="O12" s="22" t="n">
        <x:v>2179.06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249.7594501718213</x:v>
      </x:c>
      <x:c r="D13" s="22" t="n">
        <x:v>133.92898052691868</x:v>
      </x:c>
      <x:c r="E13" s="22" t="n">
        <x:v>380.06872852233676</x:v>
      </x:c>
      <x:c r="F13" s="22" t="n">
        <x:v>434.36426116838487</x:v>
      </x:c>
      <x:c r="G13" s="22" t="n">
        <x:v>0</x:v>
      </x:c>
      <x:c r="H13" s="22" t="n">
        <x:v>760.1374570446735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452.46277205040093</x:v>
      </x:c>
      <x:c r="N13" s="22" t="n">
        <x:v>2410.721649484536</x:v>
      </x:c>
      <x:c r="O13" s="22" t="n">
        <x:v>2410.72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228.04123711340205</x:v>
      </x:c>
      <x:c r="D14" s="22" t="n">
        <x:v>128.49942726231384</x:v>
      </x:c>
      <x:c r="E14" s="22" t="n">
        <x:v>380.06872852233676</x:v>
      </x:c>
      <x:c r="F14" s="22" t="n">
        <x:v>0</x:v>
      </x:c>
      <x:c r="G14" s="22" t="n">
        <x:v>0</x:v>
      </x:c>
      <x:c r="H14" s="22" t="n">
        <x:v>0</x:v>
      </x:c>
      <x:c r="I14" s="22" t="n">
        <x:v>434.36426116838487</x:v>
      </x:c>
      <x:c r="J14" s="22" t="n">
        <x:v>0</x:v>
      </x:c>
      <x:c r="K14" s="22" t="n">
        <x:v>687.7434135166094</x:v>
      </x:c>
      <x:c r="L14" s="22" t="n">
        <x:v>0</x:v>
      </x:c>
      <x:c r="M14" s="22" t="n">
        <x:v>452.46277205040093</x:v>
      </x:c>
      <x:c r="N14" s="22" t="n">
        <x:v>2311.179839633448</x:v>
      </x:c>
      <x:c r="O14" s="22" t="n">
        <x:v>2311.18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244.3298969072165</x:v>
      </x:c>
      <x:c r="D15" s="22" t="n">
        <x:v>132.11912943871707</x:v>
      </x:c>
      <x:c r="E15" s="22" t="n">
        <x:v>398.1672394043528</x:v>
      </x:c>
      <x:c r="F15" s="22" t="n">
        <x:v>0</x:v>
      </x:c>
      <x:c r="G15" s="22" t="n">
        <x:v>1122.1076746849942</x:v>
      </x:c>
      <x:c r="H15" s="22" t="n">
        <x:v>0</x:v>
      </x:c>
      <x:c r="I15" s="22" t="n">
        <x:v>0</x:v>
      </x:c>
      <x:c r="J15" s="22" t="n">
        <x:v>470.56128293241693</x:v>
      </x:c>
      <x:c r="K15" s="22" t="n">
        <x:v>0</x:v>
      </x:c>
      <x:c r="L15" s="22" t="n">
        <x:v>0</x:v>
      </x:c>
      <x:c r="M15" s="22" t="n">
        <x:v>452.46277205040093</x:v>
      </x:c>
      <x:c r="N15" s="22" t="n">
        <x:v>2819.7479954180985</x:v>
      </x:c>
      <x:c r="O15" s="22" t="n">
        <x:v>2819.75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262.42840778923255</x:v>
      </x:c>
      <x:c r="D16" s="22" t="n">
        <x:v>141.1683848797251</x:v>
      </x:c>
      <x:c r="E16" s="22" t="n">
        <x:v>398.1672394043528</x:v>
      </x:c>
      <x:c r="F16" s="22" t="n">
        <x:v>651.5463917525773</x:v>
      </x:c>
      <x:c r="G16" s="22" t="n">
        <x:v>0</x:v>
      </x:c>
      <x:c r="H16" s="22" t="n">
        <x:v>0</x:v>
      </x:c>
      <x:c r="I16" s="22" t="n">
        <x:v>434.36426116838487</x:v>
      </x:c>
      <x:c r="J16" s="22" t="n">
        <x:v>0</x:v>
      </x:c>
      <x:c r="K16" s="22" t="n">
        <x:v>0</x:v>
      </x:c>
      <x:c r="L16" s="22" t="n">
        <x:v>0</x:v>
      </x:c>
      <x:c r="M16" s="22" t="n">
        <x:v>452.46277205040093</x:v>
      </x:c>
      <x:c r="N16" s="22" t="n">
        <x:v>2340.1374570446737</x:v>
      </x:c>
      <x:c r="O16" s="22" t="n">
        <x:v>2340.14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280.52691867124855</x:v>
      </x:c>
      <x:c r="D17" s="22" t="n">
        <x:v>148.40778923253148</x:v>
      </x:c>
      <x:c r="E17" s="22" t="n">
        <x:v>398.1672394043528</x:v>
      </x:c>
      <x:c r="F17" s="22" t="n">
        <x:v>0</x:v>
      </x:c>
      <x:c r="G17" s="22" t="n">
        <x:v>0</x:v>
      </x:c>
      <x:c r="H17" s="22" t="n">
        <x:v>0</x:v>
      </x:c>
      <x:c r="I17" s="22" t="n">
        <x:v>463.32187857961054</x:v>
      </x:c>
      <x:c r="J17" s="22" t="n">
        <x:v>0</x:v>
      </x:c>
      <x:c r="K17" s="22" t="n">
        <x:v>0</x:v>
      </x:c>
      <x:c r="L17" s="22" t="n">
        <x:v>2533.791523482245</x:v>
      </x:c>
      <x:c r="M17" s="22" t="n">
        <x:v>452.46277205040093</x:v>
      </x:c>
      <x:c r="N17" s="22" t="n">
        <x:v>4276.678121420389</x:v>
      </x:c>
      <x:c r="O17" s="22" t="n">
        <x:v>4276.68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Ihlamur Apartmanı Sakini Aidat Ekstresi — Deniz Eren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B003-R007</x:v>
      </x:c>
    </x:row>
    <x:row r="4">
      <x:c r="A4" s="7" t="str">
        <x:v>Ad Soyad</x:v>
      </x:c>
      <x:c r="B4" t="str">
        <x:v>Deniz Eren</x:v>
      </x:c>
    </x:row>
    <x:row r="5">
      <x:c r="A5" s="7" t="str">
        <x:v>Daire No</x:v>
      </x:c>
      <x:c r="B5" t="n">
        <x:v>7</x:v>
      </x:c>
    </x:row>
    <x:row r="6">
      <x:c r="A6" s="7" t="str">
        <x:v>Net m²</x:v>
      </x:c>
      <x:c r="B6" s="16" t="n">
        <x:v>126</x:v>
      </x:c>
    </x:row>
    <x:row r="7">
      <x:c r="A7" s="7" t="str">
        <x:v>Ortak Gider Payı</x:v>
      </x:c>
      <x:c r="B7" s="18" t="n">
        <x:v>0.14432989690721648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178.96907216494844</x:v>
      </x:c>
      <x:c r="D11" s="22" t="n">
        <x:v>95.25773195876288</x:v>
      </x:c>
      <x:c r="E11" s="22" t="n">
        <x:v>303.0927835051546</x:v>
      </x:c>
      <x:c r="F11" s="22" t="n">
        <x:v>259.7938144329897</x:v>
      </x:c>
      <x:c r="G11" s="22" t="n">
        <x:v>0</x:v>
      </x:c>
      <x:c r="H11" s="22" t="n">
        <x:v>0</x:v>
      </x:c>
      <x:c r="I11" s="22" t="n">
        <x:v>323.29896907216494</x:v>
      </x:c>
      <x:c r="J11" s="22" t="n">
        <x:v>0</x:v>
      </x:c>
      <x:c r="K11" s="22" t="n">
        <x:v>0</x:v>
      </x:c>
      <x:c r="L11" s="22" t="n">
        <x:v>0</x:v>
      </x:c>
      <x:c r="M11" s="22" t="n">
        <x:v>360.8247422680412</x:v>
      </x:c>
      <x:c r="N11" s="22" t="n">
        <x:v>1521.2371134020618</x:v>
      </x:c>
      <x:c r="O11" s="22" t="n">
        <x:v>1521.24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190.51546391752575</x:v>
      </x:c>
      <x:c r="D12" s="22" t="n">
        <x:v>98.14432989690721</x:v>
      </x:c>
      <x:c r="E12" s="22" t="n">
        <x:v>303.0927835051546</x:v>
      </x:c>
      <x:c r="F12" s="22" t="n">
        <x:v>0</x:v>
      </x:c>
      <x:c r="G12" s="22" t="n">
        <x:v>461.85567010309273</x:v>
      </x:c>
      <x:c r="H12" s="22" t="n">
        <x:v>0</x:v>
      </x:c>
      <x:c r="I12" s="22" t="n">
        <x:v>323.29896907216494</x:v>
      </x:c>
      <x:c r="J12" s="22" t="n">
        <x:v>0</x:v>
      </x:c>
      <x:c r="K12" s="22" t="n">
        <x:v>0</x:v>
      </x:c>
      <x:c r="L12" s="22" t="n">
        <x:v>0</x:v>
      </x:c>
      <x:c r="M12" s="22" t="n">
        <x:v>360.8247422680412</x:v>
      </x:c>
      <x:c r="N12" s="22" t="n">
        <x:v>1737.7319587628865</x:v>
      </x:c>
      <x:c r="O12" s="22" t="n">
        <x:v>1737.73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199.17525773195874</x:v>
      </x:c>
      <x:c r="D13" s="22" t="n">
        <x:v>106.8041237113402</x:v>
      </x:c>
      <x:c r="E13" s="22" t="n">
        <x:v>303.0927835051546</x:v>
      </x:c>
      <x:c r="F13" s="22" t="n">
        <x:v>346.39175257731955</x:v>
      </x:c>
      <x:c r="G13" s="22" t="n">
        <x:v>0</x:v>
      </x:c>
      <x:c r="H13" s="22" t="n">
        <x:v>606.1855670103092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360.8247422680412</x:v>
      </x:c>
      <x:c r="N13" s="22" t="n">
        <x:v>1922.4742268041234</x:v>
      </x:c>
      <x:c r="O13" s="22" t="n">
        <x:v>1922.47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181.85567010309276</x:v>
      </x:c>
      <x:c r="D14" s="22" t="n">
        <x:v>102.4742268041237</x:v>
      </x:c>
      <x:c r="E14" s="22" t="n">
        <x:v>303.0927835051546</x:v>
      </x:c>
      <x:c r="F14" s="22" t="n">
        <x:v>0</x:v>
      </x:c>
      <x:c r="G14" s="22" t="n">
        <x:v>0</x:v>
      </x:c>
      <x:c r="H14" s="22" t="n">
        <x:v>0</x:v>
      </x:c>
      <x:c r="I14" s="22" t="n">
        <x:v>346.39175257731955</x:v>
      </x:c>
      <x:c r="J14" s="22" t="n">
        <x:v>0</x:v>
      </x:c>
      <x:c r="K14" s="22" t="n">
        <x:v>548.4536082474226</x:v>
      </x:c>
      <x:c r="L14" s="22" t="n">
        <x:v>0</x:v>
      </x:c>
      <x:c r="M14" s="22" t="n">
        <x:v>360.8247422680412</x:v>
      </x:c>
      <x:c r="N14" s="22" t="n">
        <x:v>1843.0927835051543</x:v>
      </x:c>
      <x:c r="O14" s="22" t="n">
        <x:v>1843.09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194.84536082474224</x:v>
      </x:c>
      <x:c r="D15" s="22" t="n">
        <x:v>105.36082474226804</x:v>
      </x:c>
      <x:c r="E15" s="22" t="n">
        <x:v>317.52577319587624</x:v>
      </x:c>
      <x:c r="F15" s="22" t="n">
        <x:v>0</x:v>
      </x:c>
      <x:c r="G15" s="22" t="n">
        <x:v>894.8453608247422</x:v>
      </x:c>
      <x:c r="H15" s="22" t="n">
        <x:v>0</x:v>
      </x:c>
      <x:c r="I15" s="22" t="n">
        <x:v>0</x:v>
      </x:c>
      <x:c r="J15" s="22" t="n">
        <x:v>375.25773195876286</x:v>
      </x:c>
      <x:c r="K15" s="22" t="n">
        <x:v>0</x:v>
      </x:c>
      <x:c r="L15" s="22" t="n">
        <x:v>0</x:v>
      </x:c>
      <x:c r="M15" s="22" t="n">
        <x:v>360.8247422680412</x:v>
      </x:c>
      <x:c r="N15" s="22" t="n">
        <x:v>2248.6597938144328</x:v>
      </x:c>
      <x:c r="O15" s="22" t="n">
        <x:v>2248.66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209.2783505154639</x:v>
      </x:c>
      <x:c r="D16" s="22" t="n">
        <x:v>112.57731958762885</x:v>
      </x:c>
      <x:c r="E16" s="22" t="n">
        <x:v>317.52577319587624</x:v>
      </x:c>
      <x:c r="F16" s="22" t="n">
        <x:v>519.5876288659794</x:v>
      </x:c>
      <x:c r="G16" s="22" t="n">
        <x:v>0</x:v>
      </x:c>
      <x:c r="H16" s="22" t="n">
        <x:v>0</x:v>
      </x:c>
      <x:c r="I16" s="22" t="n">
        <x:v>346.39175257731955</x:v>
      </x:c>
      <x:c r="J16" s="22" t="n">
        <x:v>0</x:v>
      </x:c>
      <x:c r="K16" s="22" t="n">
        <x:v>0</x:v>
      </x:c>
      <x:c r="L16" s="22" t="n">
        <x:v>0</x:v>
      </x:c>
      <x:c r="M16" s="22" t="n">
        <x:v>360.8247422680412</x:v>
      </x:c>
      <x:c r="N16" s="22" t="n">
        <x:v>1866.1855670103091</x:v>
      </x:c>
      <x:c r="O16" s="22" t="n">
        <x:v>1866.19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223.71134020618555</x:v>
      </x:c>
      <x:c r="D17" s="22" t="n">
        <x:v>118.35051546391752</x:v>
      </x:c>
      <x:c r="E17" s="22" t="n">
        <x:v>317.52577319587624</x:v>
      </x:c>
      <x:c r="F17" s="22" t="n">
        <x:v>0</x:v>
      </x:c>
      <x:c r="G17" s="22" t="n">
        <x:v>0</x:v>
      </x:c>
      <x:c r="H17" s="22" t="n">
        <x:v>0</x:v>
      </x:c>
      <x:c r="I17" s="22" t="n">
        <x:v>369.48453608247416</x:v>
      </x:c>
      <x:c r="J17" s="22" t="n">
        <x:v>0</x:v>
      </x:c>
      <x:c r="K17" s="22" t="n">
        <x:v>0</x:v>
      </x:c>
      <x:c r="L17" s="22" t="n">
        <x:v>2020.6185567010307</x:v>
      </x:c>
      <x:c r="M17" s="22" t="n">
        <x:v>360.8247422680412</x:v>
      </x:c>
      <x:c r="N17" s="22" t="n">
        <x:v>3410.5154639175253</x:v>
      </x:c>
      <x:c r="O17" s="22" t="n">
        <x:v>3410.52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Ihlamur Apartmanı Sakini Aidat Ekstresi — Elif Şahin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B003-R008</x:v>
      </x:c>
    </x:row>
    <x:row r="4">
      <x:c r="A4" s="7" t="str">
        <x:v>Ad Soyad</x:v>
      </x:c>
      <x:c r="B4" t="str">
        <x:v>Elif Şahin</x:v>
      </x:c>
    </x:row>
    <x:row r="5">
      <x:c r="A5" s="7" t="str">
        <x:v>Daire No</x:v>
      </x:c>
      <x:c r="B5" t="n">
        <x:v>8</x:v>
      </x:c>
    </x:row>
    <x:row r="6">
      <x:c r="A6" s="7" t="str">
        <x:v>Net m²</x:v>
      </x:c>
      <x:c r="B6" s="16" t="n">
        <x:v>118</x:v>
      </x:c>
    </x:row>
    <x:row r="7">
      <x:c r="A7" s="7" t="str">
        <x:v>Ortak Gider Payı</x:v>
      </x:c>
      <x:c r="B7" s="18" t="n">
        <x:v>0.13516609392898052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167.60595647193585</x:v>
      </x:c>
      <x:c r="D11" s="22" t="n">
        <x:v>89.20962199312714</x:v>
      </x:c>
      <x:c r="E11" s="22" t="n">
        <x:v>283.8487972508591</x:v>
      </x:c>
      <x:c r="F11" s="22" t="n">
        <x:v>243.29896907216494</x:v>
      </x:c>
      <x:c r="G11" s="22" t="n">
        <x:v>0</x:v>
      </x:c>
      <x:c r="H11" s="22" t="n">
        <x:v>0</x:v>
      </x:c>
      <x:c r="I11" s="22" t="n">
        <x:v>302.7720504009164</x:v>
      </x:c>
      <x:c r="J11" s="22" t="n">
        <x:v>0</x:v>
      </x:c>
      <x:c r="K11" s="22" t="n">
        <x:v>0</x:v>
      </x:c>
      <x:c r="L11" s="22" t="n">
        <x:v>0</x:v>
      </x:c>
      <x:c r="M11" s="22" t="n">
        <x:v>337.9152348224513</x:v>
      </x:c>
      <x:c r="N11" s="22" t="n">
        <x:v>1424.6506300114547</x:v>
      </x:c>
      <x:c r="O11" s="22" t="n">
        <x:v>1424.65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178.4192439862543</x:v>
      </x:c>
      <x:c r="D12" s="22" t="n">
        <x:v>91.91294387170676</x:v>
      </x:c>
      <x:c r="E12" s="22" t="n">
        <x:v>283.8487972508591</x:v>
      </x:c>
      <x:c r="F12" s="22" t="n">
        <x:v>0</x:v>
      </x:c>
      <x:c r="G12" s="22" t="n">
        <x:v>432.5315005727377</x:v>
      </x:c>
      <x:c r="H12" s="22" t="n">
        <x:v>0</x:v>
      </x:c>
      <x:c r="I12" s="22" t="n">
        <x:v>302.7720504009164</x:v>
      </x:c>
      <x:c r="J12" s="22" t="n">
        <x:v>0</x:v>
      </x:c>
      <x:c r="K12" s="22" t="n">
        <x:v>0</x:v>
      </x:c>
      <x:c r="L12" s="22" t="n">
        <x:v>0</x:v>
      </x:c>
      <x:c r="M12" s="22" t="n">
        <x:v>337.9152348224513</x:v>
      </x:c>
      <x:c r="N12" s="22" t="n">
        <x:v>1627.3997709049254</x:v>
      </x:c>
      <x:c r="O12" s="22" t="n">
        <x:v>1627.4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186.52920962199312</x:v>
      </x:c>
      <x:c r="D13" s="22" t="n">
        <x:v>100.02290950744559</x:v>
      </x:c>
      <x:c r="E13" s="22" t="n">
        <x:v>283.8487972508591</x:v>
      </x:c>
      <x:c r="F13" s="22" t="n">
        <x:v>324.39862542955325</x:v>
      </x:c>
      <x:c r="G13" s="22" t="n">
        <x:v>0</x:v>
      </x:c>
      <x:c r="H13" s="22" t="n">
        <x:v>567.6975945017182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337.9152348224513</x:v>
      </x:c>
      <x:c r="N13" s="22" t="n">
        <x:v>1800.4123711340205</x:v>
      </x:c>
      <x:c r="O13" s="22" t="n">
        <x:v>0</x:v>
      </x:c>
      <x:c r="P13" s="22" t="n">
        <x:v>1800.41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170.30927835051546</x:v>
      </x:c>
      <x:c r="D14" s="22" t="n">
        <x:v>95.96792668957617</x:v>
      </x:c>
      <x:c r="E14" s="22" t="n">
        <x:v>283.8487972508591</x:v>
      </x:c>
      <x:c r="F14" s="22" t="n">
        <x:v>0</x:v>
      </x:c>
      <x:c r="G14" s="22" t="n">
        <x:v>0</x:v>
      </x:c>
      <x:c r="H14" s="22" t="n">
        <x:v>0</x:v>
      </x:c>
      <x:c r="I14" s="22" t="n">
        <x:v>324.39862542955325</x:v>
      </x:c>
      <x:c r="J14" s="22" t="n">
        <x:v>0</x:v>
      </x:c>
      <x:c r="K14" s="22" t="n">
        <x:v>513.6311569301259</x:v>
      </x:c>
      <x:c r="L14" s="22" t="n">
        <x:v>0</x:v>
      </x:c>
      <x:c r="M14" s="22" t="n">
        <x:v>337.9152348224513</x:v>
      </x:c>
      <x:c r="N14" s="22" t="n">
        <x:v>1726.0710194730812</x:v>
      </x:c>
      <x:c r="O14" s="22" t="n">
        <x:v>1726.07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182.4742268041237</x:v>
      </x:c>
      <x:c r="D15" s="22" t="n">
        <x:v>98.67124856815578</x:v>
      </x:c>
      <x:c r="E15" s="22" t="n">
        <x:v>297.3654066437571</x:v>
      </x:c>
      <x:c r="F15" s="22" t="n">
        <x:v>0</x:v>
      </x:c>
      <x:c r="G15" s="22" t="n">
        <x:v>838.0297823596792</x:v>
      </x:c>
      <x:c r="H15" s="22" t="n">
        <x:v>0</x:v>
      </x:c>
      <x:c r="I15" s="22" t="n">
        <x:v>0</x:v>
      </x:c>
      <x:c r="J15" s="22" t="n">
        <x:v>351.4318442153494</x:v>
      </x:c>
      <x:c r="K15" s="22" t="n">
        <x:v>0</x:v>
      </x:c>
      <x:c r="L15" s="22" t="n">
        <x:v>0</x:v>
      </x:c>
      <x:c r="M15" s="22" t="n">
        <x:v>337.9152348224513</x:v>
      </x:c>
      <x:c r="N15" s="22" t="n">
        <x:v>2105.8877434135165</x:v>
      </x:c>
      <x:c r="O15" s="22" t="n">
        <x:v>1052.94</x:v>
      </x:c>
      <x:c r="P15" s="22" t="n">
        <x:v>1052.95</x:v>
      </x:c>
      <x:c r="Q15" t="str">
        <x:v>Kısmi Ödeme</x:v>
      </x:c>
    </x:row>
    <x:row r="16">
      <x:c r="A16" s="24" t="n">
        <x:v>46174</x:v>
      </x:c>
      <x:c r="B16" s="24" t="n">
        <x:v>46143</x:v>
      </x:c>
      <x:c r="C16" s="22" t="n">
        <x:v>195.99083619702176</x:v>
      </x:c>
      <x:c r="D16" s="22" t="n">
        <x:v>105.4295532646048</x:v>
      </x:c>
      <x:c r="E16" s="22" t="n">
        <x:v>297.3654066437571</x:v>
      </x:c>
      <x:c r="F16" s="22" t="n">
        <x:v>486.5979381443299</x:v>
      </x:c>
      <x:c r="G16" s="22" t="n">
        <x:v>0</x:v>
      </x:c>
      <x:c r="H16" s="22" t="n">
        <x:v>0</x:v>
      </x:c>
      <x:c r="I16" s="22" t="n">
        <x:v>324.39862542955325</x:v>
      </x:c>
      <x:c r="J16" s="22" t="n">
        <x:v>0</x:v>
      </x:c>
      <x:c r="K16" s="22" t="n">
        <x:v>0</x:v>
      </x:c>
      <x:c r="L16" s="22" t="n">
        <x:v>0</x:v>
      </x:c>
      <x:c r="M16" s="22" t="n">
        <x:v>337.9152348224513</x:v>
      </x:c>
      <x:c r="N16" s="22" t="n">
        <x:v>1747.6975945017182</x:v>
      </x:c>
      <x:c r="O16" s="22" t="n">
        <x:v>1747.7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209.5074455899198</x:v>
      </x:c>
      <x:c r="D17" s="22" t="n">
        <x:v>110.83619702176402</x:v>
      </x:c>
      <x:c r="E17" s="22" t="n">
        <x:v>297.3654066437571</x:v>
      </x:c>
      <x:c r="F17" s="22" t="n">
        <x:v>0</x:v>
      </x:c>
      <x:c r="G17" s="22" t="n">
        <x:v>0</x:v>
      </x:c>
      <x:c r="H17" s="22" t="n">
        <x:v>0</x:v>
      </x:c>
      <x:c r="I17" s="22" t="n">
        <x:v>346.0252004581901</x:v>
      </x:c>
      <x:c r="J17" s="22" t="n">
        <x:v>0</x:v>
      </x:c>
      <x:c r="K17" s="22" t="n">
        <x:v>0</x:v>
      </x:c>
      <x:c r="L17" s="22" t="n">
        <x:v>1892.3253150057274</x:v>
      </x:c>
      <x:c r="M17" s="22" t="n">
        <x:v>337.9152348224513</x:v>
      </x:c>
      <x:c r="N17" s="22" t="n">
        <x:v>3193.9747995418097</x:v>
      </x:c>
      <x:c r="O17" s="22" t="n">
        <x:v>3193.97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</x:cols>
  <x:sheetData>
    <x:row r="1" ht="30" customHeight="1">
      <x:c r="A1" s="3" t="str">
        <x:v>Ihlamur Apartmanı — Demo</x:v>
      </x:c>
      <x:c r="B1" s="3"/>
      <x:c r="C1" s="3"/>
      <x:c r="D1" s="3"/>
      <x:c r="E1" s="3"/>
      <x:c r="F1" s="3"/>
    </x:row>
    <x:row r="3">
      <x:c r="A3" s="7" t="str">
        <x:v>Bina Kodu</x:v>
      </x:c>
      <x:c r="B3" t="str">
        <x:v>B003</x:v>
      </x:c>
    </x:row>
    <x:row r="4">
      <x:c r="A4" s="7" t="str">
        <x:v>Bina</x:v>
      </x:c>
      <x:c r="B4" t="str">
        <x:v>Ihlamur Apartmanı</x:v>
      </x:c>
    </x:row>
    <x:row r="5">
      <x:c r="A5" s="7" t="str">
        <x:v>Konum</x:v>
      </x:c>
      <x:c r="B5" t="str">
        <x:v>Ümraniye</x:v>
      </x:c>
    </x:row>
    <x:row r="6">
      <x:c r="A6" s="7" t="str">
        <x:v>Daire Sayısı</x:v>
      </x:c>
      <x:c r="B6" t="n">
        <x:v>8</x:v>
      </x:c>
    </x:row>
    <x:row r="7">
      <x:c r="A7" s="7" t="str">
        <x:v>Toplam Net Alan</x:v>
      </x:c>
      <x:c r="B7" t="n">
        <x:v>873</x:v>
      </x:c>
    </x:row>
    <x:row r="8">
      <x:c r="A8" s="7" t="str">
        <x:v>Aidat Sistemi</x:v>
      </x:c>
      <x:c r="B8" t="str">
        <x:v>Önceki ay giderleri</x:v>
      </x:c>
    </x:row>
    <x:row r="9">
      <x:c r="A9" s="7" t="str">
        <x:v>Paylaşım</x:v>
      </x:c>
      <x:c r="B9" t="str">
        <x:v>Net m² oranı</x:v>
      </x:c>
    </x:row>
    <x:row r="10">
      <x:c r="A10" s="7" t="str">
        <x:v>Yedek Fon</x:v>
      </x:c>
      <x:c r="B10" t="str">
        <x:v>Yok</x:v>
      </x:c>
    </x:row>
    <x:row r="11">
      <x:c r="A11" s="7" t="str">
        <x:v>Personel/SGK/Sigorta</x:v>
      </x:c>
      <x:c r="B11" t="str">
        <x:v>Yok</x:v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Kural</x:v>
      </x:c>
      <x:c r="B1" s="10" t="str">
        <x:v>Açıklama</x:v>
      </x:c>
    </x:row>
    <x:row r="2">
      <x:c r="A2" s="26" t="str">
        <x:v>Aidat</x:v>
      </x:c>
      <x:c r="B2" s="26" t="str">
        <x:v>Her ayın aidatı bir önceki ayın gerçekleşen ortak giderlerinden oluşur.</x:v>
      </x:c>
    </x:row>
    <x:row r="3">
      <x:c r="A3" s="26" t="str">
        <x:v>Dağıtım</x:v>
      </x:c>
      <x:c r="B3" s="26" t="str">
        <x:v>Giderler net m² oranında dairelere dağıtılır.</x:v>
      </x:c>
    </x:row>
    <x:row r="4">
      <x:c r="A4" s="26" t="str">
        <x:v>Yedek fon</x:v>
      </x:c>
      <x:c r="B4" s="26" t="str">
        <x:v>Yoktur.</x:v>
      </x:c>
    </x:row>
    <x:row r="5">
      <x:c r="A5" s="26" t="str">
        <x:v>Hariç</x:v>
      </x:c>
      <x:c r="B5" s="26" t="str">
        <x:v>Personel, SGK ve sigorta yoktur.</x:v>
      </x:c>
    </x:row>
    <x:row r="6">
      <x:c r="A6" s="26" t="str">
        <x:v>Dahil</x:v>
      </x:c>
      <x:c r="B6" s="26" t="str">
        <x:v>Yönetim hizmeti, ortak alan elektrik/su, asansör, jeneratör, hidrofor, yangın, temizlik, bahçe, onarım ve çatı vardır.</x:v>
      </x:c>
    </x:row>
  </x:sheetData>
  <x:pageMargins left="0.7" right="0.7" top="0.75" bottom="0.75" header="0.3" footer="0.3"/>
</x:worksheet>
</file>
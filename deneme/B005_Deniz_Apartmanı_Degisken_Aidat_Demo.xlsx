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edd8e35ef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kinler" sheetId="1" r:id="Rbac37d9f73bd4af9"/>
    <x:sheet xmlns:r="http://schemas.openxmlformats.org/officeDocument/2006/relationships" name="Giderler" sheetId="2" r:id="R0e83e269ee4b4aa2"/>
    <x:sheet xmlns:r="http://schemas.openxmlformats.org/officeDocument/2006/relationships" name="Aidat Ekstresi" sheetId="3" r:id="R6d6a02e552644d3e"/>
    <x:sheet xmlns:r="http://schemas.openxmlformats.org/officeDocument/2006/relationships" name="Banka Hareketleri" sheetId="4" r:id="Ra6afa2efd94d4544"/>
    <x:sheet xmlns:r="http://schemas.openxmlformats.org/officeDocument/2006/relationships" name="B005-R001" sheetId="5" r:id="R1ed88c4587f54c41"/>
    <x:sheet xmlns:r="http://schemas.openxmlformats.org/officeDocument/2006/relationships" name="B005-R002" sheetId="6" r:id="R94458208150244b2"/>
    <x:sheet xmlns:r="http://schemas.openxmlformats.org/officeDocument/2006/relationships" name="B005-R003" sheetId="7" r:id="R2317505a117b4b12"/>
    <x:sheet xmlns:r="http://schemas.openxmlformats.org/officeDocument/2006/relationships" name="B005-R004" sheetId="8" r:id="R4d371e61c66d451f"/>
    <x:sheet xmlns:r="http://schemas.openxmlformats.org/officeDocument/2006/relationships" name="B005-R005" sheetId="9" r:id="R1e79853acaf74691"/>
    <x:sheet xmlns:r="http://schemas.openxmlformats.org/officeDocument/2006/relationships" name="B005-R006" sheetId="10" r:id="Re14abf624b264fd0"/>
    <x:sheet xmlns:r="http://schemas.openxmlformats.org/officeDocument/2006/relationships" name="B005-R007" sheetId="11" r:id="R11b14d914e884bbb"/>
    <x:sheet xmlns:r="http://schemas.openxmlformats.org/officeDocument/2006/relationships" name="B005-R008" sheetId="12" r:id="R5e84a6ee6712411f"/>
    <x:sheet xmlns:r="http://schemas.openxmlformats.org/officeDocument/2006/relationships" name="B005-R009" sheetId="13" r:id="Rdfcd6911c73d42ec"/>
    <x:sheet xmlns:r="http://schemas.openxmlformats.org/officeDocument/2006/relationships" name="B005-R010" sheetId="14" r:id="Rdb82772c9ce54281"/>
    <x:sheet xmlns:r="http://schemas.openxmlformats.org/officeDocument/2006/relationships" name="Özet" sheetId="15" r:id="Rb9799a73039c4a47"/>
    <x:sheet xmlns:r="http://schemas.openxmlformats.org/officeDocument/2006/relationships" name="Notlar" sheetId="16" r:id="R1c0357eb044e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 &quot;m²&quot;"/>
    <x:numFmt numFmtId="201" formatCode="0.00%"/>
    <x:numFmt numFmtId="202" formatCode="dd.mm.yyyy"/>
    <x:numFmt numFmtId="203" formatCode="#,##0.00 &quot;TL&quot;"/>
    <x:numFmt numFmtId="204" formatCode="mmmm yyyy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F3F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F3F"/>
      </x:patternFill>
    </x:fill>
    <x:fill>
      <x:patternFill patternType="solid">
        <x:fgColor rgb="FFD4D9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1427583eb415d" /><Relationship Type="http://schemas.openxmlformats.org/officeDocument/2006/relationships/theme" Target="/xl/theme/theme1.xml" Id="Rcd6e75fce828487b" /><Relationship Type="http://schemas.openxmlformats.org/officeDocument/2006/relationships/sharedStrings" Target="/xl/sharedStrings.xml" Id="R063df4680fd04f09" /><Relationship Type="http://schemas.openxmlformats.org/officeDocument/2006/relationships/worksheet" Target="/xl/worksheets/sheet1.xml" Id="Rbac37d9f73bd4af9" /><Relationship Type="http://schemas.openxmlformats.org/officeDocument/2006/relationships/worksheet" Target="/xl/worksheets/sheet2.xml" Id="R0e83e269ee4b4aa2" /><Relationship Type="http://schemas.openxmlformats.org/officeDocument/2006/relationships/worksheet" Target="/xl/worksheets/sheet3.xml" Id="R6d6a02e552644d3e" /><Relationship Type="http://schemas.openxmlformats.org/officeDocument/2006/relationships/worksheet" Target="/xl/worksheets/sheet4.xml" Id="Ra6afa2efd94d4544" /><Relationship Type="http://schemas.openxmlformats.org/officeDocument/2006/relationships/worksheet" Target="/xl/worksheets/sheet5.xml" Id="R1ed88c4587f54c41" /><Relationship Type="http://schemas.openxmlformats.org/officeDocument/2006/relationships/worksheet" Target="/xl/worksheets/sheet6.xml" Id="R94458208150244b2" /><Relationship Type="http://schemas.openxmlformats.org/officeDocument/2006/relationships/worksheet" Target="/xl/worksheets/sheet7.xml" Id="R2317505a117b4b12" /><Relationship Type="http://schemas.openxmlformats.org/officeDocument/2006/relationships/worksheet" Target="/xl/worksheets/sheet8.xml" Id="R4d371e61c66d451f" /><Relationship Type="http://schemas.openxmlformats.org/officeDocument/2006/relationships/worksheet" Target="/xl/worksheets/sheet9.xml" Id="R1e79853acaf74691" /><Relationship Type="http://schemas.openxmlformats.org/officeDocument/2006/relationships/worksheet" Target="/xl/worksheets/sheet10.xml" Id="Re14abf624b264fd0" /><Relationship Type="http://schemas.openxmlformats.org/officeDocument/2006/relationships/worksheet" Target="/xl/worksheets/sheet11.xml" Id="R11b14d914e884bbb" /><Relationship Type="http://schemas.openxmlformats.org/officeDocument/2006/relationships/worksheet" Target="/xl/worksheets/sheet12.xml" Id="R5e84a6ee6712411f" /><Relationship Type="http://schemas.openxmlformats.org/officeDocument/2006/relationships/worksheet" Target="/xl/worksheets/sheet13.xml" Id="Rdfcd6911c73d42ec" /><Relationship Type="http://schemas.openxmlformats.org/officeDocument/2006/relationships/worksheet" Target="/xl/worksheets/sheet14.xml" Id="Rdb82772c9ce54281" /><Relationship Type="http://schemas.openxmlformats.org/officeDocument/2006/relationships/worksheet" Target="/xl/worksheets/sheet15.xml" Id="Rb9799a73039c4a47" /><Relationship Type="http://schemas.openxmlformats.org/officeDocument/2006/relationships/worksheet" Target="/xl/worksheets/sheet16.xml" Id="R1c0357eb044e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Deniz Apartmanı — Sakinler</x:v>
      </x:c>
      <x:c r="B1" s="3"/>
      <x:c r="C1" s="3"/>
      <x:c r="D1" s="3"/>
      <x:c r="E1" s="3"/>
      <x:c r="F1" s="3"/>
    </x:row>
    <x:row r="3">
      <x:c r="A3" s="10" t="str">
        <x:v>Daire No</x:v>
      </x:c>
      <x:c r="B3" s="10" t="str">
        <x:v>Resident Kodu</x:v>
      </x:c>
      <x:c r="C3" s="10" t="str">
        <x:v>Ad Soyad</x:v>
      </x:c>
      <x:c r="D3" s="10" t="str">
        <x:v>Net m²</x:v>
      </x:c>
      <x:c r="E3" s="10" t="str">
        <x:v>Ortak Gider Payı</x:v>
      </x:c>
      <x:c r="F3" s="10" t="str">
        <x:v>Durum</x:v>
      </x:c>
    </x:row>
    <x:row r="4">
      <x:c r="A4" t="n">
        <x:v>1</x:v>
      </x:c>
      <x:c r="B4" t="str">
        <x:v>B005-R001</x:v>
      </x:c>
      <x:c r="C4" t="str">
        <x:v>Pelin Aslan</x:v>
      </x:c>
      <x:c r="D4" s="16" t="n">
        <x:v>112</x:v>
      </x:c>
      <x:c r="E4" s="18" t="n">
        <x:v>0.10646387832699619</x:v>
      </x:c>
      <x:c r="F4" t="str">
        <x:v>Aktif</x:v>
      </x:c>
    </x:row>
    <x:row r="5">
      <x:c r="A5" t="n">
        <x:v>2</x:v>
      </x:c>
      <x:c r="B5" t="str">
        <x:v>B005-R002</x:v>
      </x:c>
      <x:c r="C5" t="str">
        <x:v>Emre Aslan</x:v>
      </x:c>
      <x:c r="D5" s="16" t="n">
        <x:v>90</x:v>
      </x:c>
      <x:c r="E5" s="18" t="n">
        <x:v>0.08555133079847908</x:v>
      </x:c>
      <x:c r="F5" t="str">
        <x:v>Aktif</x:v>
      </x:c>
    </x:row>
    <x:row r="6">
      <x:c r="A6" t="n">
        <x:v>3</x:v>
      </x:c>
      <x:c r="B6" t="str">
        <x:v>B005-R003</x:v>
      </x:c>
      <x:c r="C6" t="str">
        <x:v>Cem Kaya</x:v>
      </x:c>
      <x:c r="D6" s="16" t="n">
        <x:v>96</x:v>
      </x:c>
      <x:c r="E6" s="18" t="n">
        <x:v>0.09125475285171103</x:v>
      </x:c>
      <x:c r="F6" t="str">
        <x:v>Aktif</x:v>
      </x:c>
    </x:row>
    <x:row r="7">
      <x:c r="A7" t="n">
        <x:v>4</x:v>
      </x:c>
      <x:c r="B7" t="str">
        <x:v>B005-R004</x:v>
      </x:c>
      <x:c r="C7" t="str">
        <x:v>Ece Koç</x:v>
      </x:c>
      <x:c r="D7" s="16" t="n">
        <x:v>96</x:v>
      </x:c>
      <x:c r="E7" s="18" t="n">
        <x:v>0.09125475285171103</x:v>
      </x:c>
      <x:c r="F7" t="str">
        <x:v>Aktif</x:v>
      </x:c>
    </x:row>
    <x:row r="8">
      <x:c r="A8" t="n">
        <x:v>5</x:v>
      </x:c>
      <x:c r="B8" t="str">
        <x:v>B005-R005</x:v>
      </x:c>
      <x:c r="C8" t="str">
        <x:v>Fatma Yıldız</x:v>
      </x:c>
      <x:c r="D8" s="16" t="n">
        <x:v>96</x:v>
      </x:c>
      <x:c r="E8" s="18" t="n">
        <x:v>0.09125475285171103</x:v>
      </x:c>
      <x:c r="F8" t="str">
        <x:v>Aktif</x:v>
      </x:c>
    </x:row>
    <x:row r="9">
      <x:c r="A9" t="n">
        <x:v>6</x:v>
      </x:c>
      <x:c r="B9" t="str">
        <x:v>B005-R006</x:v>
      </x:c>
      <x:c r="C9" t="str">
        <x:v>Nihan Demir</x:v>
      </x:c>
      <x:c r="D9" s="16" t="n">
        <x:v>68</x:v>
      </x:c>
      <x:c r="E9" s="18" t="n">
        <x:v>0.06463878326996197</x:v>
      </x:c>
      <x:c r="F9" t="str">
        <x:v>Aktif</x:v>
      </x:c>
    </x:row>
    <x:row r="10">
      <x:c r="A10" t="n">
        <x:v>7</x:v>
      </x:c>
      <x:c r="B10" t="str">
        <x:v>B005-R007</x:v>
      </x:c>
      <x:c r="C10" t="str">
        <x:v>Ece Demir</x:v>
      </x:c>
      <x:c r="D10" s="16" t="n">
        <x:v>112</x:v>
      </x:c>
      <x:c r="E10" s="18" t="n">
        <x:v>0.10646387832699619</x:v>
      </x:c>
      <x:c r="F10" t="str">
        <x:v>Aktif</x:v>
      </x:c>
    </x:row>
    <x:row r="11">
      <x:c r="A11" t="n">
        <x:v>8</x:v>
      </x:c>
      <x:c r="B11" t="str">
        <x:v>B005-R008</x:v>
      </x:c>
      <x:c r="C11" t="str">
        <x:v>Fatma Aksoy</x:v>
      </x:c>
      <x:c r="D11" s="16" t="n">
        <x:v>105</x:v>
      </x:c>
      <x:c r="E11" s="18" t="n">
        <x:v>0.09980988593155894</x:v>
      </x:c>
      <x:c r="F11" t="str">
        <x:v>Aktif</x:v>
      </x:c>
    </x:row>
    <x:row r="12">
      <x:c r="A12" t="n">
        <x:v>9</x:v>
      </x:c>
      <x:c r="B12" t="str">
        <x:v>B005-R009</x:v>
      </x:c>
      <x:c r="C12" t="str">
        <x:v>Kerem Tekin</x:v>
      </x:c>
      <x:c r="D12" s="16" t="n">
        <x:v>145</x:v>
      </x:c>
      <x:c r="E12" s="18" t="n">
        <x:v>0.13783269961977188</x:v>
      </x:c>
      <x:c r="F12" t="str">
        <x:v>Aktif</x:v>
      </x:c>
    </x:row>
    <x:row r="13">
      <x:c r="A13" t="n">
        <x:v>10</x:v>
      </x:c>
      <x:c r="B13" t="str">
        <x:v>B005-R010</x:v>
      </x:c>
      <x:c r="C13" t="str">
        <x:v>Selin Doğan</x:v>
      </x:c>
      <x:c r="D13" s="16" t="n">
        <x:v>132</x:v>
      </x:c>
      <x:c r="E13" s="18" t="n">
        <x:v>0.12547528517110265</x:v>
      </x:c>
      <x:c r="F13" t="str">
        <x:v>Aktif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0" customHeight="1">
      <x:c r="A1" s="3" t="str">
        <x:v>Deniz Apartmanı — Giderler ve Daire Payları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>
      <x:c r="A3" s="10" t="str">
        <x:v>Tarih</x:v>
      </x:c>
      <x:c r="B3" s="10" t="str">
        <x:v>Gider Ayı</x:v>
      </x:c>
      <x:c r="C3" s="10" t="str">
        <x:v>Kategori</x:v>
      </x:c>
      <x:c r="D3" s="10" t="str">
        <x:v>Açıklama</x:v>
      </x:c>
      <x:c r="E3" s="10" t="str">
        <x:v>Ödeme</x:v>
      </x:c>
      <x:c r="F3" s="10" t="str">
        <x:v>Tutar</x:v>
      </x:c>
      <x:c r="G3" s="10" t="str">
        <x:v>Gider Kodu</x:v>
      </x:c>
      <x:c r="H3" s="10" t="str">
        <x:v>B005-R001</x:v>
      </x:c>
      <x:c r="I3" s="10" t="str">
        <x:v>B005-R002</x:v>
      </x:c>
      <x:c r="J3" s="10" t="str">
        <x:v>B005-R003</x:v>
      </x:c>
      <x:c r="K3" s="10" t="str">
        <x:v>B005-R004</x:v>
      </x:c>
      <x:c r="L3" s="10" t="str">
        <x:v>B005-R005</x:v>
      </x:c>
      <x:c r="M3" s="10" t="str">
        <x:v>B005-R006</x:v>
      </x:c>
      <x:c r="N3" s="10" t="str">
        <x:v>B005-R007</x:v>
      </x:c>
      <x:c r="O3" s="10" t="str">
        <x:v>B005-R008</x:v>
      </x:c>
      <x:c r="P3" s="10" t="str">
        <x:v>B005-R009</x:v>
      </x:c>
      <x:c r="Q3" s="10" t="str">
        <x:v>B005-R010</x:v>
      </x:c>
      <x:c r="R3" s="10" t="str">
        <x:v>Pay Toplamı</x:v>
      </x:c>
    </x:row>
    <x:row r="4">
      <x:c r="A4" s="20" t="n">
        <x:v>45996</x:v>
      </x:c>
      <x:c r="B4" s="20" t="n">
        <x:v>45992</x:v>
      </x:c>
      <x:c r="C4" t="str">
        <x:v>Ortak Alan Elektrik</x:v>
      </x:c>
      <x:c r="D4" t="str">
        <x:v>Aralık ortak alan elektrik</x:v>
      </x:c>
      <x:c r="E4" t="str">
        <x:v>Banka</x:v>
      </x:c>
      <x:c r="F4" s="22" t="n">
        <x:v>1550</x:v>
      </x:c>
      <x:c r="G4" s="22" t="str">
        <x:v>B005-G0001</x:v>
      </x:c>
      <x:c r="H4" s="22" t="n">
        <x:f>$F4*Sakinler!$E$4</x:f>
        <x:v>165.0190114068441</x:v>
      </x:c>
      <x:c r="I4" s="22" t="n">
        <x:f>$F4*Sakinler!$E$5</x:f>
        <x:v>132.60456273764257</x:v>
      </x:c>
      <x:c r="J4" s="22" t="n">
        <x:f>$F4*Sakinler!$E$6</x:f>
        <x:v>141.4448669201521</x:v>
      </x:c>
      <x:c r="K4" s="22" t="n">
        <x:f>$F4*Sakinler!$E$7</x:f>
        <x:v>141.4448669201521</x:v>
      </x:c>
      <x:c r="L4" s="22" t="n">
        <x:f>$F4*Sakinler!$E$8</x:f>
        <x:v>141.4448669201521</x:v>
      </x:c>
      <x:c r="M4" s="22" t="n">
        <x:f>$F4*Sakinler!$E$9</x:f>
        <x:v>100.19011406844106</x:v>
      </x:c>
      <x:c r="N4" s="22" t="n">
        <x:f>$F4*Sakinler!$E$10</x:f>
        <x:v>165.0190114068441</x:v>
      </x:c>
      <x:c r="O4" s="22" t="n">
        <x:f>$F4*Sakinler!$E$11</x:f>
        <x:v>154.70532319391637</x:v>
      </x:c>
      <x:c r="P4" s="22" t="n">
        <x:f>$F4*Sakinler!$E$12</x:f>
        <x:v>213.6406844106464</x:v>
      </x:c>
      <x:c r="Q4" s="22" t="n">
        <x:f>$F4*Sakinler!$E$13</x:f>
        <x:v>194.48669201520912</x:v>
      </x:c>
      <x:c r="R4" s="22" t="n">
        <x:f>SUM(H4:Q4)</x:f>
        <x:v>1550</x:v>
      </x:c>
    </x:row>
    <x:row r="5">
      <x:c r="A5" s="20" t="n">
        <x:v>46000</x:v>
      </x:c>
      <x:c r="B5" s="20" t="n">
        <x:v>45992</x:v>
      </x:c>
      <x:c r="C5" t="str">
        <x:v>Ortak Alan Su</x:v>
      </x:c>
      <x:c r="D5" t="str">
        <x:v>Aralık ortak alan su</x:v>
      </x:c>
      <x:c r="E5" t="str">
        <x:v>Banka</x:v>
      </x:c>
      <x:c r="F5" s="22" t="n">
        <x:v>820</x:v>
      </x:c>
      <x:c r="G5" s="22" t="str">
        <x:v>B005-G0002</x:v>
      </x:c>
      <x:c r="H5" s="22" t="n">
        <x:f>$F5*Sakinler!$E$4</x:f>
        <x:v>87.30038022813687</x:v>
      </x:c>
      <x:c r="I5" s="22" t="n">
        <x:f>$F5*Sakinler!$E$5</x:f>
        <x:v>70.15209125475285</x:v>
      </x:c>
      <x:c r="J5" s="22" t="n">
        <x:f>$F5*Sakinler!$E$6</x:f>
        <x:v>74.82889733840304</x:v>
      </x:c>
      <x:c r="K5" s="22" t="n">
        <x:f>$F5*Sakinler!$E$7</x:f>
        <x:v>74.82889733840304</x:v>
      </x:c>
      <x:c r="L5" s="22" t="n">
        <x:f>$F5*Sakinler!$E$8</x:f>
        <x:v>74.82889733840304</x:v>
      </x:c>
      <x:c r="M5" s="22" t="n">
        <x:f>$F5*Sakinler!$E$9</x:f>
        <x:v>53.00380228136882</x:v>
      </x:c>
      <x:c r="N5" s="22" t="n">
        <x:f>$F5*Sakinler!$E$10</x:f>
        <x:v>87.30038022813687</x:v>
      </x:c>
      <x:c r="O5" s="22" t="n">
        <x:f>$F5*Sakinler!$E$11</x:f>
        <x:v>81.84410646387833</x:v>
      </x:c>
      <x:c r="P5" s="22" t="n">
        <x:f>$F5*Sakinler!$E$12</x:f>
        <x:v>113.02281368821293</x:v>
      </x:c>
      <x:c r="Q5" s="22" t="n">
        <x:f>$F5*Sakinler!$E$13</x:f>
        <x:v>102.88973384030417</x:v>
      </x:c>
      <x:c r="R5" s="22" t="n">
        <x:f>SUM(H5:Q5)</x:f>
        <x:v>820.0000000000001</x:v>
      </x:c>
    </x:row>
    <x:row r="6">
      <x:c r="A6" s="20" t="n">
        <x:v>46004</x:v>
      </x:c>
      <x:c r="B6" s="20" t="n">
        <x:v>45992</x:v>
      </x:c>
      <x:c r="C6" t="str">
        <x:v>Asansör Bakımı</x:v>
      </x:c>
      <x:c r="D6" t="str">
        <x:v>Aylık asansör bakımı</x:v>
      </x:c>
      <x:c r="E6" t="str">
        <x:v>Banka</x:v>
      </x:c>
      <x:c r="F6" s="22" t="n">
        <x:v>2100</x:v>
      </x:c>
      <x:c r="G6" s="22" t="str">
        <x:v>B005-G0003</x:v>
      </x:c>
      <x:c r="H6" s="22" t="n">
        <x:f>$F6*Sakinler!$E$4</x:f>
        <x:v>223.574144486692</x:v>
      </x:c>
      <x:c r="I6" s="22" t="n">
        <x:f>$F6*Sakinler!$E$5</x:f>
        <x:v>179.65779467680608</x:v>
      </x:c>
      <x:c r="J6" s="22" t="n">
        <x:f>$F6*Sakinler!$E$6</x:f>
        <x:v>191.63498098859316</x:v>
      </x:c>
      <x:c r="K6" s="22" t="n">
        <x:f>$F6*Sakinler!$E$7</x:f>
        <x:v>191.63498098859316</x:v>
      </x:c>
      <x:c r="L6" s="22" t="n">
        <x:f>$F6*Sakinler!$E$8</x:f>
        <x:v>191.63498098859316</x:v>
      </x:c>
      <x:c r="M6" s="22" t="n">
        <x:f>$F6*Sakinler!$E$9</x:f>
        <x:v>135.74144486692015</x:v>
      </x:c>
      <x:c r="N6" s="22" t="n">
        <x:f>$F6*Sakinler!$E$10</x:f>
        <x:v>223.574144486692</x:v>
      </x:c>
      <x:c r="O6" s="22" t="n">
        <x:f>$F6*Sakinler!$E$11</x:f>
        <x:v>209.60076045627378</x:v>
      </x:c>
      <x:c r="P6" s="22" t="n">
        <x:f>$F6*Sakinler!$E$12</x:f>
        <x:v>289.44866920152094</x:v>
      </x:c>
      <x:c r="Q6" s="22" t="n">
        <x:f>$F6*Sakinler!$E$13</x:f>
        <x:v>263.4980988593156</x:v>
      </x:c>
      <x:c r="R6" s="22" t="n">
        <x:f>SUM(H6:Q6)</x:f>
        <x:v>2100</x:v>
      </x:c>
    </x:row>
    <x:row r="7">
      <x:c r="A7" s="20" t="n">
        <x:v>46008</x:v>
      </x:c>
      <x:c r="B7" s="20" t="n">
        <x:v>45992</x:v>
      </x:c>
      <x:c r="C7" t="str">
        <x:v>Jeneratör Bakımı</x:v>
      </x:c>
      <x:c r="D7" t="str">
        <x:v>Jeneratör periyodik kontrol</x:v>
      </x:c>
      <x:c r="E7" t="str">
        <x:v>Banka</x:v>
      </x:c>
      <x:c r="F7" s="22" t="n">
        <x:v>1800</x:v>
      </x:c>
      <x:c r="G7" s="22" t="str">
        <x:v>B005-G0004</x:v>
      </x:c>
      <x:c r="H7" s="22" t="n">
        <x:f>$F7*Sakinler!$E$4</x:f>
        <x:v>191.63498098859316</x:v>
      </x:c>
      <x:c r="I7" s="22" t="n">
        <x:f>$F7*Sakinler!$E$5</x:f>
        <x:v>153.99239543726236</x:v>
      </x:c>
      <x:c r="J7" s="22" t="n">
        <x:f>$F7*Sakinler!$E$6</x:f>
        <x:v>164.25855513307985</x:v>
      </x:c>
      <x:c r="K7" s="22" t="n">
        <x:f>$F7*Sakinler!$E$7</x:f>
        <x:v>164.25855513307985</x:v>
      </x:c>
      <x:c r="L7" s="22" t="n">
        <x:f>$F7*Sakinler!$E$8</x:f>
        <x:v>164.25855513307985</x:v>
      </x:c>
      <x:c r="M7" s="22" t="n">
        <x:f>$F7*Sakinler!$E$9</x:f>
        <x:v>116.34980988593155</x:v>
      </x:c>
      <x:c r="N7" s="22" t="n">
        <x:f>$F7*Sakinler!$E$10</x:f>
        <x:v>191.63498098859316</x:v>
      </x:c>
      <x:c r="O7" s="22" t="n">
        <x:f>$F7*Sakinler!$E$11</x:f>
        <x:v>179.6577946768061</x:v>
      </x:c>
      <x:c r="P7" s="22" t="n">
        <x:f>$F7*Sakinler!$E$12</x:f>
        <x:v>248.09885931558938</x:v>
      </x:c>
      <x:c r="Q7" s="22" t="n">
        <x:f>$F7*Sakinler!$E$13</x:f>
        <x:v>225.85551330798478</x:v>
      </x:c>
      <x:c r="R7" s="22" t="n">
        <x:f>SUM(H7:Q7)</x:f>
        <x:v>1800</x:v>
      </x:c>
    </x:row>
    <x:row r="8">
      <x:c r="A8" s="20" t="n">
        <x:v>46012</x:v>
      </x:c>
      <x:c r="B8" s="20" t="n">
        <x:v>45992</x:v>
      </x:c>
      <x:c r="C8" t="str">
        <x:v>Temizlik</x:v>
      </x:c>
      <x:c r="D8" t="str">
        <x:v>Ortak alan temizliği</x:v>
      </x:c>
      <x:c r="E8" t="str">
        <x:v>Nakit</x:v>
      </x:c>
      <x:c r="F8" s="22" t="n">
        <x:v>2800</x:v>
      </x:c>
      <x:c r="G8" s="22" t="str">
        <x:v>B005-G0005</x:v>
      </x:c>
      <x:c r="H8" s="22" t="n">
        <x:f>$F8*Sakinler!$E$4</x:f>
        <x:v>298.0988593155893</x:v>
      </x:c>
      <x:c r="I8" s="22" t="n">
        <x:f>$F8*Sakinler!$E$5</x:f>
        <x:v>239.54372623574145</x:v>
      </x:c>
      <x:c r="J8" s="22" t="n">
        <x:f>$F8*Sakinler!$E$6</x:f>
        <x:v>255.51330798479088</x:v>
      </x:c>
      <x:c r="K8" s="22" t="n">
        <x:f>$F8*Sakinler!$E$7</x:f>
        <x:v>255.51330798479088</x:v>
      </x:c>
      <x:c r="L8" s="22" t="n">
        <x:f>$F8*Sakinler!$E$8</x:f>
        <x:v>255.51330798479088</x:v>
      </x:c>
      <x:c r="M8" s="22" t="n">
        <x:f>$F8*Sakinler!$E$9</x:f>
        <x:v>180.98859315589354</x:v>
      </x:c>
      <x:c r="N8" s="22" t="n">
        <x:f>$F8*Sakinler!$E$10</x:f>
        <x:v>298.0988593155893</x:v>
      </x:c>
      <x:c r="O8" s="22" t="n">
        <x:f>$F8*Sakinler!$E$11</x:f>
        <x:v>279.467680608365</x:v>
      </x:c>
      <x:c r="P8" s="22" t="n">
        <x:f>$F8*Sakinler!$E$12</x:f>
        <x:v>385.93155893536124</x:v>
      </x:c>
      <x:c r="Q8" s="22" t="n">
        <x:f>$F8*Sakinler!$E$13</x:f>
        <x:v>351.33079847908743</x:v>
      </x:c>
      <x:c r="R8" s="22" t="n">
        <x:f>SUM(H8:Q8)</x:f>
        <x:v>2800</x:v>
      </x:c>
    </x:row>
    <x:row r="9">
      <x:c r="A9" s="20" t="n">
        <x:v>46016</x:v>
      </x:c>
      <x:c r="B9" s="20" t="n">
        <x:v>45992</x:v>
      </x:c>
      <x:c r="C9" t="str">
        <x:v>Yönetim Hizmeti</x:v>
      </x:c>
      <x:c r="D9" t="str">
        <x:v>Yönetim hizmet bedeli</x:v>
      </x:c>
      <x:c r="E9" t="str">
        <x:v>Banka</x:v>
      </x:c>
      <x:c r="F9" s="22" t="n">
        <x:v>2500</x:v>
      </x:c>
      <x:c r="G9" s="22" t="str">
        <x:v>B005-G0006</x:v>
      </x:c>
      <x:c r="H9" s="22" t="n">
        <x:f>$F9*Sakinler!$E$4</x:f>
        <x:v>266.1596958174905</x:v>
      </x:c>
      <x:c r="I9" s="22" t="n">
        <x:f>$F9*Sakinler!$E$5</x:f>
        <x:v>213.8783269961977</x:v>
      </x:c>
      <x:c r="J9" s="22" t="n">
        <x:f>$F9*Sakinler!$E$6</x:f>
        <x:v>228.13688212927758</x:v>
      </x:c>
      <x:c r="K9" s="22" t="n">
        <x:f>$F9*Sakinler!$E$7</x:f>
        <x:v>228.13688212927758</x:v>
      </x:c>
      <x:c r="L9" s="22" t="n">
        <x:f>$F9*Sakinler!$E$8</x:f>
        <x:v>228.13688212927758</x:v>
      </x:c>
      <x:c r="M9" s="22" t="n">
        <x:f>$F9*Sakinler!$E$9</x:f>
        <x:v>161.59695817490493</x:v>
      </x:c>
      <x:c r="N9" s="22" t="n">
        <x:f>$F9*Sakinler!$E$10</x:f>
        <x:v>266.1596958174905</x:v>
      </x:c>
      <x:c r="O9" s="22" t="n">
        <x:f>$F9*Sakinler!$E$11</x:f>
        <x:v>249.52471482889734</x:v>
      </x:c>
      <x:c r="P9" s="22" t="n">
        <x:f>$F9*Sakinler!$E$12</x:f>
        <x:v>344.5817490494297</x:v>
      </x:c>
      <x:c r="Q9" s="22" t="n">
        <x:f>$F9*Sakinler!$E$13</x:f>
        <x:v>313.68821292775664</x:v>
      </x:c>
      <x:c r="R9" s="22" t="n">
        <x:f>SUM(H9:Q9)</x:f>
        <x:v>2500</x:v>
      </x:c>
    </x:row>
    <x:row r="10">
      <x:c r="A10" s="20" t="n">
        <x:v>46027</x:v>
      </x:c>
      <x:c r="B10" s="20" t="n">
        <x:v>46023</x:v>
      </x:c>
      <x:c r="C10" t="str">
        <x:v>Ortak Alan Elektrik</x:v>
      </x:c>
      <x:c r="D10" t="str">
        <x:v>Ocak ortak alan elektrik</x:v>
      </x:c>
      <x:c r="E10" t="str">
        <x:v>Banka</x:v>
      </x:c>
      <x:c r="F10" s="22" t="n">
        <x:v>1650</x:v>
      </x:c>
      <x:c r="G10" s="22" t="str">
        <x:v>B005-G0007</x:v>
      </x:c>
      <x:c r="H10" s="22" t="n">
        <x:f>$F10*Sakinler!$E$4</x:f>
        <x:v>175.66539923954372</x:v>
      </x:c>
      <x:c r="I10" s="22" t="n">
        <x:f>$F10*Sakinler!$E$5</x:f>
        <x:v>141.1596958174905</x:v>
      </x:c>
      <x:c r="J10" s="22" t="n">
        <x:f>$F10*Sakinler!$E$6</x:f>
        <x:v>150.5703422053232</x:v>
      </x:c>
      <x:c r="K10" s="22" t="n">
        <x:f>$F10*Sakinler!$E$7</x:f>
        <x:v>150.5703422053232</x:v>
      </x:c>
      <x:c r="L10" s="22" t="n">
        <x:f>$F10*Sakinler!$E$8</x:f>
        <x:v>150.5703422053232</x:v>
      </x:c>
      <x:c r="M10" s="22" t="n">
        <x:f>$F10*Sakinler!$E$9</x:f>
        <x:v>106.65399239543726</x:v>
      </x:c>
      <x:c r="N10" s="22" t="n">
        <x:f>$F10*Sakinler!$E$10</x:f>
        <x:v>175.66539923954372</x:v>
      </x:c>
      <x:c r="O10" s="22" t="n">
        <x:f>$F10*Sakinler!$E$11</x:f>
        <x:v>164.68631178707224</x:v>
      </x:c>
      <x:c r="P10" s="22" t="n">
        <x:f>$F10*Sakinler!$E$12</x:f>
        <x:v>227.4239543726236</x:v>
      </x:c>
      <x:c r="Q10" s="22" t="n">
        <x:f>$F10*Sakinler!$E$13</x:f>
        <x:v>207.03422053231938</x:v>
      </x:c>
      <x:c r="R10" s="22" t="n">
        <x:f>SUM(H10:Q10)</x:f>
        <x:v>1650.0000000000002</x:v>
      </x:c>
    </x:row>
    <x:row r="11">
      <x:c r="A11" s="20" t="n">
        <x:v>46031</x:v>
      </x:c>
      <x:c r="B11" s="20" t="n">
        <x:v>46023</x:v>
      </x:c>
      <x:c r="C11" t="str">
        <x:v>Ortak Alan Su</x:v>
      </x:c>
      <x:c r="D11" t="str">
        <x:v>Ocak ortak alan su</x:v>
      </x:c>
      <x:c r="E11" t="str">
        <x:v>Banka</x:v>
      </x:c>
      <x:c r="F11" s="22" t="n">
        <x:v>850</x:v>
      </x:c>
      <x:c r="G11" s="22" t="str">
        <x:v>B005-G0008</x:v>
      </x:c>
      <x:c r="H11" s="22" t="n">
        <x:f>$F11*Sakinler!$E$4</x:f>
        <x:v>90.49429657794677</x:v>
      </x:c>
      <x:c r="I11" s="22" t="n">
        <x:f>$F11*Sakinler!$E$5</x:f>
        <x:v>72.71863117870723</x:v>
      </x:c>
      <x:c r="J11" s="22" t="n">
        <x:f>$F11*Sakinler!$E$6</x:f>
        <x:v>77.56653992395438</x:v>
      </x:c>
      <x:c r="K11" s="22" t="n">
        <x:f>$F11*Sakinler!$E$7</x:f>
        <x:v>77.56653992395438</x:v>
      </x:c>
      <x:c r="L11" s="22" t="n">
        <x:f>$F11*Sakinler!$E$8</x:f>
        <x:v>77.56653992395438</x:v>
      </x:c>
      <x:c r="M11" s="22" t="n">
        <x:f>$F11*Sakinler!$E$9</x:f>
        <x:v>54.94296577946768</x:v>
      </x:c>
      <x:c r="N11" s="22" t="n">
        <x:f>$F11*Sakinler!$E$10</x:f>
        <x:v>90.49429657794677</x:v>
      </x:c>
      <x:c r="O11" s="22" t="n">
        <x:f>$F11*Sakinler!$E$11</x:f>
        <x:v>84.8384030418251</x:v>
      </x:c>
      <x:c r="P11" s="22" t="n">
        <x:f>$F11*Sakinler!$E$12</x:f>
        <x:v>117.15779467680609</x:v>
      </x:c>
      <x:c r="Q11" s="22" t="n">
        <x:f>$F11*Sakinler!$E$13</x:f>
        <x:v>106.65399239543726</x:v>
      </x:c>
      <x:c r="R11" s="22" t="n">
        <x:f>SUM(H11:Q11)</x:f>
        <x:v>850.0000000000001</x:v>
      </x:c>
    </x:row>
    <x:row r="12">
      <x:c r="A12" s="20" t="n">
        <x:v>46035</x:v>
      </x:c>
      <x:c r="B12" s="20" t="n">
        <x:v>46023</x:v>
      </x:c>
      <x:c r="C12" t="str">
        <x:v>Asansör Bakımı</x:v>
      </x:c>
      <x:c r="D12" t="str">
        <x:v>Aylık asansör bakımı</x:v>
      </x:c>
      <x:c r="E12" t="str">
        <x:v>Banka</x:v>
      </x:c>
      <x:c r="F12" s="22" t="n">
        <x:v>2100</x:v>
      </x:c>
      <x:c r="G12" s="22" t="str">
        <x:v>B005-G0009</x:v>
      </x:c>
      <x:c r="H12" s="22" t="n">
        <x:f>$F12*Sakinler!$E$4</x:f>
        <x:v>223.574144486692</x:v>
      </x:c>
      <x:c r="I12" s="22" t="n">
        <x:f>$F12*Sakinler!$E$5</x:f>
        <x:v>179.65779467680608</x:v>
      </x:c>
      <x:c r="J12" s="22" t="n">
        <x:f>$F12*Sakinler!$E$6</x:f>
        <x:v>191.63498098859316</x:v>
      </x:c>
      <x:c r="K12" s="22" t="n">
        <x:f>$F12*Sakinler!$E$7</x:f>
        <x:v>191.63498098859316</x:v>
      </x:c>
      <x:c r="L12" s="22" t="n">
        <x:f>$F12*Sakinler!$E$8</x:f>
        <x:v>191.63498098859316</x:v>
      </x:c>
      <x:c r="M12" s="22" t="n">
        <x:f>$F12*Sakinler!$E$9</x:f>
        <x:v>135.74144486692015</x:v>
      </x:c>
      <x:c r="N12" s="22" t="n">
        <x:f>$F12*Sakinler!$E$10</x:f>
        <x:v>223.574144486692</x:v>
      </x:c>
      <x:c r="O12" s="22" t="n">
        <x:f>$F12*Sakinler!$E$11</x:f>
        <x:v>209.60076045627378</x:v>
      </x:c>
      <x:c r="P12" s="22" t="n">
        <x:f>$F12*Sakinler!$E$12</x:f>
        <x:v>289.44866920152094</x:v>
      </x:c>
      <x:c r="Q12" s="22" t="n">
        <x:f>$F12*Sakinler!$E$13</x:f>
        <x:v>263.4980988593156</x:v>
      </x:c>
      <x:c r="R12" s="22" t="n">
        <x:f>SUM(H12:Q12)</x:f>
        <x:v>2100</x:v>
      </x:c>
    </x:row>
    <x:row r="13">
      <x:c r="A13" s="20" t="n">
        <x:v>46039</x:v>
      </x:c>
      <x:c r="B13" s="20" t="n">
        <x:v>46023</x:v>
      </x:c>
      <x:c r="C13" t="str">
        <x:v>Hidrofor Bakımı</x:v>
      </x:c>
      <x:c r="D13" t="str">
        <x:v>Hidrofor bakım ve ayar</x:v>
      </x:c>
      <x:c r="E13" t="str">
        <x:v>Banka</x:v>
      </x:c>
      <x:c r="F13" s="22" t="n">
        <x:v>3200</x:v>
      </x:c>
      <x:c r="G13" s="22" t="str">
        <x:v>B005-G0010</x:v>
      </x:c>
      <x:c r="H13" s="22" t="n">
        <x:f>$F13*Sakinler!$E$4</x:f>
        <x:v>340.6844106463878</x:v>
      </x:c>
      <x:c r="I13" s="22" t="n">
        <x:f>$F13*Sakinler!$E$5</x:f>
        <x:v>273.76425855513304</x:v>
      </x:c>
      <x:c r="J13" s="22" t="n">
        <x:f>$F13*Sakinler!$E$6</x:f>
        <x:v>292.0152091254753</x:v>
      </x:c>
      <x:c r="K13" s="22" t="n">
        <x:f>$F13*Sakinler!$E$7</x:f>
        <x:v>292.0152091254753</x:v>
      </x:c>
      <x:c r="L13" s="22" t="n">
        <x:f>$F13*Sakinler!$E$8</x:f>
        <x:v>292.0152091254753</x:v>
      </x:c>
      <x:c r="M13" s="22" t="n">
        <x:f>$F13*Sakinler!$E$9</x:f>
        <x:v>206.84410646387832</x:v>
      </x:c>
      <x:c r="N13" s="22" t="n">
        <x:f>$F13*Sakinler!$E$10</x:f>
        <x:v>340.6844106463878</x:v>
      </x:c>
      <x:c r="O13" s="22" t="n">
        <x:f>$F13*Sakinler!$E$11</x:f>
        <x:v>319.3916349809886</x:v>
      </x:c>
      <x:c r="P13" s="22" t="n">
        <x:f>$F13*Sakinler!$E$12</x:f>
        <x:v>441.06463878327</x:v>
      </x:c>
      <x:c r="Q13" s="22" t="n">
        <x:f>$F13*Sakinler!$E$13</x:f>
        <x:v>401.5209125475285</x:v>
      </x:c>
      <x:c r="R13" s="22" t="n">
        <x:f>SUM(H13:Q13)</x:f>
        <x:v>3200</x:v>
      </x:c>
    </x:row>
    <x:row r="14">
      <x:c r="A14" s="20" t="n">
        <x:v>46043</x:v>
      </x:c>
      <x:c r="B14" s="20" t="n">
        <x:v>46023</x:v>
      </x:c>
      <x:c r="C14" t="str">
        <x:v>Temizlik</x:v>
      </x:c>
      <x:c r="D14" t="str">
        <x:v>Ortak alan temizliği</x:v>
      </x:c>
      <x:c r="E14" t="str">
        <x:v>Nakit</x:v>
      </x:c>
      <x:c r="F14" s="22" t="n">
        <x:v>2800</x:v>
      </x:c>
      <x:c r="G14" s="22" t="str">
        <x:v>B005-G0011</x:v>
      </x:c>
      <x:c r="H14" s="22" t="n">
        <x:f>$F14*Sakinler!$E$4</x:f>
        <x:v>298.0988593155893</x:v>
      </x:c>
      <x:c r="I14" s="22" t="n">
        <x:f>$F14*Sakinler!$E$5</x:f>
        <x:v>239.54372623574145</x:v>
      </x:c>
      <x:c r="J14" s="22" t="n">
        <x:f>$F14*Sakinler!$E$6</x:f>
        <x:v>255.51330798479088</x:v>
      </x:c>
      <x:c r="K14" s="22" t="n">
        <x:f>$F14*Sakinler!$E$7</x:f>
        <x:v>255.51330798479088</x:v>
      </x:c>
      <x:c r="L14" s="22" t="n">
        <x:f>$F14*Sakinler!$E$8</x:f>
        <x:v>255.51330798479088</x:v>
      </x:c>
      <x:c r="M14" s="22" t="n">
        <x:f>$F14*Sakinler!$E$9</x:f>
        <x:v>180.98859315589354</x:v>
      </x:c>
      <x:c r="N14" s="22" t="n">
        <x:f>$F14*Sakinler!$E$10</x:f>
        <x:v>298.0988593155893</x:v>
      </x:c>
      <x:c r="O14" s="22" t="n">
        <x:f>$F14*Sakinler!$E$11</x:f>
        <x:v>279.467680608365</x:v>
      </x:c>
      <x:c r="P14" s="22" t="n">
        <x:f>$F14*Sakinler!$E$12</x:f>
        <x:v>385.93155893536124</x:v>
      </x:c>
      <x:c r="Q14" s="22" t="n">
        <x:f>$F14*Sakinler!$E$13</x:f>
        <x:v>351.33079847908743</x:v>
      </x:c>
      <x:c r="R14" s="22" t="n">
        <x:f>SUM(H14:Q14)</x:f>
        <x:v>2800</x:v>
      </x:c>
    </x:row>
    <x:row r="15">
      <x:c r="A15" s="20" t="n">
        <x:v>46047</x:v>
      </x:c>
      <x:c r="B15" s="20" t="n">
        <x:v>46023</x:v>
      </x:c>
      <x:c r="C15" t="str">
        <x:v>Yönetim Hizmeti</x:v>
      </x:c>
      <x:c r="D15" t="str">
        <x:v>Yönetim hizmet bedeli</x:v>
      </x:c>
      <x:c r="E15" t="str">
        <x:v>Banka</x:v>
      </x:c>
      <x:c r="F15" s="22" t="n">
        <x:v>2500</x:v>
      </x:c>
      <x:c r="G15" s="22" t="str">
        <x:v>B005-G0012</x:v>
      </x:c>
      <x:c r="H15" s="22" t="n">
        <x:f>$F15*Sakinler!$E$4</x:f>
        <x:v>266.1596958174905</x:v>
      </x:c>
      <x:c r="I15" s="22" t="n">
        <x:f>$F15*Sakinler!$E$5</x:f>
        <x:v>213.8783269961977</x:v>
      </x:c>
      <x:c r="J15" s="22" t="n">
        <x:f>$F15*Sakinler!$E$6</x:f>
        <x:v>228.13688212927758</x:v>
      </x:c>
      <x:c r="K15" s="22" t="n">
        <x:f>$F15*Sakinler!$E$7</x:f>
        <x:v>228.13688212927758</x:v>
      </x:c>
      <x:c r="L15" s="22" t="n">
        <x:f>$F15*Sakinler!$E$8</x:f>
        <x:v>228.13688212927758</x:v>
      </x:c>
      <x:c r="M15" s="22" t="n">
        <x:f>$F15*Sakinler!$E$9</x:f>
        <x:v>161.59695817490493</x:v>
      </x:c>
      <x:c r="N15" s="22" t="n">
        <x:f>$F15*Sakinler!$E$10</x:f>
        <x:v>266.1596958174905</x:v>
      </x:c>
      <x:c r="O15" s="22" t="n">
        <x:f>$F15*Sakinler!$E$11</x:f>
        <x:v>249.52471482889734</x:v>
      </x:c>
      <x:c r="P15" s="22" t="n">
        <x:f>$F15*Sakinler!$E$12</x:f>
        <x:v>344.5817490494297</x:v>
      </x:c>
      <x:c r="Q15" s="22" t="n">
        <x:f>$F15*Sakinler!$E$13</x:f>
        <x:v>313.68821292775664</x:v>
      </x:c>
      <x:c r="R15" s="22" t="n">
        <x:f>SUM(H15:Q15)</x:f>
        <x:v>2500</x:v>
      </x:c>
    </x:row>
    <x:row r="16">
      <x:c r="A16" s="20" t="n">
        <x:v>46058</x:v>
      </x:c>
      <x:c r="B16" s="20" t="n">
        <x:v>46054</x:v>
      </x:c>
      <x:c r="C16" t="str">
        <x:v>Ortak Alan Elektrik</x:v>
      </x:c>
      <x:c r="D16" t="str">
        <x:v>Şubat ortak alan elektrik</x:v>
      </x:c>
      <x:c r="E16" t="str">
        <x:v>Banka</x:v>
      </x:c>
      <x:c r="F16" s="22" t="n">
        <x:v>1720</x:v>
      </x:c>
      <x:c r="G16" s="22" t="str">
        <x:v>B005-G0013</x:v>
      </x:c>
      <x:c r="H16" s="22" t="n">
        <x:f>$F16*Sakinler!$E$4</x:f>
        <x:v>183.11787072243345</x:v>
      </x:c>
      <x:c r="I16" s="22" t="n">
        <x:f>$F16*Sakinler!$E$5</x:f>
        <x:v>147.148288973384</x:v>
      </x:c>
      <x:c r="J16" s="22" t="n">
        <x:f>$F16*Sakinler!$E$6</x:f>
        <x:v>156.95817490494298</x:v>
      </x:c>
      <x:c r="K16" s="22" t="n">
        <x:f>$F16*Sakinler!$E$7</x:f>
        <x:v>156.95817490494298</x:v>
      </x:c>
      <x:c r="L16" s="22" t="n">
        <x:f>$F16*Sakinler!$E$8</x:f>
        <x:v>156.95817490494298</x:v>
      </x:c>
      <x:c r="M16" s="22" t="n">
        <x:f>$F16*Sakinler!$E$9</x:f>
        <x:v>111.1787072243346</x:v>
      </x:c>
      <x:c r="N16" s="22" t="n">
        <x:f>$F16*Sakinler!$E$10</x:f>
        <x:v>183.11787072243345</x:v>
      </x:c>
      <x:c r="O16" s="22" t="n">
        <x:f>$F16*Sakinler!$E$11</x:f>
        <x:v>171.67300380228139</x:v>
      </x:c>
      <x:c r="P16" s="22" t="n">
        <x:f>$F16*Sakinler!$E$12</x:f>
        <x:v>237.07224334600764</x:v>
      </x:c>
      <x:c r="Q16" s="22" t="n">
        <x:f>$F16*Sakinler!$E$13</x:f>
        <x:v>215.81749049429655</x:v>
      </x:c>
      <x:c r="R16" s="22" t="n">
        <x:f>SUM(H16:Q16)</x:f>
        <x:v>1720</x:v>
      </x:c>
    </x:row>
    <x:row r="17">
      <x:c r="A17" s="20" t="n">
        <x:v>46062</x:v>
      </x:c>
      <x:c r="B17" s="20" t="n">
        <x:v>46054</x:v>
      </x:c>
      <x:c r="C17" t="str">
        <x:v>Ortak Alan Su</x:v>
      </x:c>
      <x:c r="D17" t="str">
        <x:v>Şubat ortak alan su</x:v>
      </x:c>
      <x:c r="E17" t="str">
        <x:v>Banka</x:v>
      </x:c>
      <x:c r="F17" s="22" t="n">
        <x:v>920</x:v>
      </x:c>
      <x:c r="G17" s="22" t="str">
        <x:v>B005-G0014</x:v>
      </x:c>
      <x:c r="H17" s="22" t="n">
        <x:f>$F17*Sakinler!$E$4</x:f>
        <x:v>97.94676806083649</x:v>
      </x:c>
      <x:c r="I17" s="22" t="n">
        <x:f>$F17*Sakinler!$E$5</x:f>
        <x:v>78.70722433460075</x:v>
      </x:c>
      <x:c r="J17" s="22" t="n">
        <x:f>$F17*Sakinler!$E$6</x:f>
        <x:v>83.95437262357414</x:v>
      </x:c>
      <x:c r="K17" s="22" t="n">
        <x:f>$F17*Sakinler!$E$7</x:f>
        <x:v>83.95437262357414</x:v>
      </x:c>
      <x:c r="L17" s="22" t="n">
        <x:f>$F17*Sakinler!$E$8</x:f>
        <x:v>83.95437262357414</x:v>
      </x:c>
      <x:c r="M17" s="22" t="n">
        <x:f>$F17*Sakinler!$E$9</x:f>
        <x:v>59.467680608365015</x:v>
      </x:c>
      <x:c r="N17" s="22" t="n">
        <x:f>$F17*Sakinler!$E$10</x:f>
        <x:v>97.94676806083649</x:v>
      </x:c>
      <x:c r="O17" s="22" t="n">
        <x:f>$F17*Sakinler!$E$11</x:f>
        <x:v>91.82509505703423</x:v>
      </x:c>
      <x:c r="P17" s="22" t="n">
        <x:f>$F17*Sakinler!$E$12</x:f>
        <x:v>126.80608365019013</x:v>
      </x:c>
      <x:c r="Q17" s="22" t="n">
        <x:f>$F17*Sakinler!$E$13</x:f>
        <x:v>115.43726235741444</x:v>
      </x:c>
      <x:c r="R17" s="22" t="n">
        <x:f>SUM(H17:Q17)</x:f>
        <x:v>919.9999999999999</x:v>
      </x:c>
    </x:row>
    <x:row r="18">
      <x:c r="A18" s="20" t="n">
        <x:v>46066</x:v>
      </x:c>
      <x:c r="B18" s="20" t="n">
        <x:v>46054</x:v>
      </x:c>
      <x:c r="C18" t="str">
        <x:v>Asansör Bakımı</x:v>
      </x:c>
      <x:c r="D18" t="str">
        <x:v>Aylık asansör bakımı</x:v>
      </x:c>
      <x:c r="E18" t="str">
        <x:v>Banka</x:v>
      </x:c>
      <x:c r="F18" s="22" t="n">
        <x:v>2100</x:v>
      </x:c>
      <x:c r="G18" s="22" t="str">
        <x:v>B005-G0015</x:v>
      </x:c>
      <x:c r="H18" s="22" t="n">
        <x:f>$F18*Sakinler!$E$4</x:f>
        <x:v>223.574144486692</x:v>
      </x:c>
      <x:c r="I18" s="22" t="n">
        <x:f>$F18*Sakinler!$E$5</x:f>
        <x:v>179.65779467680608</x:v>
      </x:c>
      <x:c r="J18" s="22" t="n">
        <x:f>$F18*Sakinler!$E$6</x:f>
        <x:v>191.63498098859316</x:v>
      </x:c>
      <x:c r="K18" s="22" t="n">
        <x:f>$F18*Sakinler!$E$7</x:f>
        <x:v>191.63498098859316</x:v>
      </x:c>
      <x:c r="L18" s="22" t="n">
        <x:f>$F18*Sakinler!$E$8</x:f>
        <x:v>191.63498098859316</x:v>
      </x:c>
      <x:c r="M18" s="22" t="n">
        <x:f>$F18*Sakinler!$E$9</x:f>
        <x:v>135.74144486692015</x:v>
      </x:c>
      <x:c r="N18" s="22" t="n">
        <x:f>$F18*Sakinler!$E$10</x:f>
        <x:v>223.574144486692</x:v>
      </x:c>
      <x:c r="O18" s="22" t="n">
        <x:f>$F18*Sakinler!$E$11</x:f>
        <x:v>209.60076045627378</x:v>
      </x:c>
      <x:c r="P18" s="22" t="n">
        <x:f>$F18*Sakinler!$E$12</x:f>
        <x:v>289.44866920152094</x:v>
      </x:c>
      <x:c r="Q18" s="22" t="n">
        <x:f>$F18*Sakinler!$E$13</x:f>
        <x:v>263.4980988593156</x:v>
      </x:c>
      <x:c r="R18" s="22" t="n">
        <x:f>SUM(H18:Q18)</x:f>
        <x:v>2100</x:v>
      </x:c>
    </x:row>
    <x:row r="19">
      <x:c r="A19" s="20" t="n">
        <x:v>46070</x:v>
      </x:c>
      <x:c r="B19" s="20" t="n">
        <x:v>46054</x:v>
      </x:c>
      <x:c r="C19" t="str">
        <x:v>Jeneratör Bakımı</x:v>
      </x:c>
      <x:c r="D19" t="str">
        <x:v>Jeneratör akü ve filtre kontrolü</x:v>
      </x:c>
      <x:c r="E19" t="str">
        <x:v>Banka</x:v>
      </x:c>
      <x:c r="F19" s="22" t="n">
        <x:v>2400</x:v>
      </x:c>
      <x:c r="G19" s="22" t="str">
        <x:v>B005-G0016</x:v>
      </x:c>
      <x:c r="H19" s="22" t="n">
        <x:f>$F19*Sakinler!$E$4</x:f>
        <x:v>255.51330798479086</x:v>
      </x:c>
      <x:c r="I19" s="22" t="n">
        <x:f>$F19*Sakinler!$E$5</x:f>
        <x:v>205.3231939163498</x:v>
      </x:c>
      <x:c r="J19" s="22" t="n">
        <x:f>$F19*Sakinler!$E$6</x:f>
        <x:v>219.01140684410646</x:v>
      </x:c>
      <x:c r="K19" s="22" t="n">
        <x:f>$F19*Sakinler!$E$7</x:f>
        <x:v>219.01140684410646</x:v>
      </x:c>
      <x:c r="L19" s="22" t="n">
        <x:f>$F19*Sakinler!$E$8</x:f>
        <x:v>219.01140684410646</x:v>
      </x:c>
      <x:c r="M19" s="22" t="n">
        <x:f>$F19*Sakinler!$E$9</x:f>
        <x:v>155.13307984790873</x:v>
      </x:c>
      <x:c r="N19" s="22" t="n">
        <x:f>$F19*Sakinler!$E$10</x:f>
        <x:v>255.51330798479086</x:v>
      </x:c>
      <x:c r="O19" s="22" t="n">
        <x:f>$F19*Sakinler!$E$11</x:f>
        <x:v>239.54372623574147</x:v>
      </x:c>
      <x:c r="P19" s="22" t="n">
        <x:f>$F19*Sakinler!$E$12</x:f>
        <x:v>330.7984790874525</x:v>
      </x:c>
      <x:c r="Q19" s="22" t="n">
        <x:f>$F19*Sakinler!$E$13</x:f>
        <x:v>301.1406844106464</x:v>
      </x:c>
      <x:c r="R19" s="22" t="n">
        <x:f>SUM(H19:Q19)</x:f>
        <x:v>2400</x:v>
      </x:c>
    </x:row>
    <x:row r="20">
      <x:c r="A20" s="20" t="n">
        <x:v>46074</x:v>
      </x:c>
      <x:c r="B20" s="20" t="n">
        <x:v>46054</x:v>
      </x:c>
      <x:c r="C20" t="str">
        <x:v>Yangın Sistemleri</x:v>
      </x:c>
      <x:c r="D20" t="str">
        <x:v>Yangın tüpü kontrol ve dolumu</x:v>
      </x:c>
      <x:c r="E20" t="str">
        <x:v>Banka</x:v>
      </x:c>
      <x:c r="F20" s="22" t="n">
        <x:v>4200</x:v>
      </x:c>
      <x:c r="G20" s="22" t="str">
        <x:v>B005-G0017</x:v>
      </x:c>
      <x:c r="H20" s="22" t="n">
        <x:f>$F20*Sakinler!$E$4</x:f>
        <x:v>447.148288973384</x:v>
      </x:c>
      <x:c r="I20" s="22" t="n">
        <x:f>$F20*Sakinler!$E$5</x:f>
        <x:v>359.31558935361215</x:v>
      </x:c>
      <x:c r="J20" s="22" t="n">
        <x:f>$F20*Sakinler!$E$6</x:f>
        <x:v>383.2699619771863</x:v>
      </x:c>
      <x:c r="K20" s="22" t="n">
        <x:f>$F20*Sakinler!$E$7</x:f>
        <x:v>383.2699619771863</x:v>
      </x:c>
      <x:c r="L20" s="22" t="n">
        <x:f>$F20*Sakinler!$E$8</x:f>
        <x:v>383.2699619771863</x:v>
      </x:c>
      <x:c r="M20" s="22" t="n">
        <x:f>$F20*Sakinler!$E$9</x:f>
        <x:v>271.4828897338403</x:v>
      </x:c>
      <x:c r="N20" s="22" t="n">
        <x:f>$F20*Sakinler!$E$10</x:f>
        <x:v>447.148288973384</x:v>
      </x:c>
      <x:c r="O20" s="22" t="n">
        <x:f>$F20*Sakinler!$E$11</x:f>
        <x:v>419.20152091254755</x:v>
      </x:c>
      <x:c r="P20" s="22" t="n">
        <x:f>$F20*Sakinler!$E$12</x:f>
        <x:v>578.8973384030419</x:v>
      </x:c>
      <x:c r="Q20" s="22" t="n">
        <x:f>$F20*Sakinler!$E$13</x:f>
        <x:v>526.9961977186312</x:v>
      </x:c>
      <x:c r="R20" s="22" t="n">
        <x:f>SUM(H20:Q20)</x:f>
        <x:v>4200</x:v>
      </x:c>
    </x:row>
    <x:row r="21">
      <x:c r="A21" s="20" t="n">
        <x:v>46078</x:v>
      </x:c>
      <x:c r="B21" s="20" t="n">
        <x:v>46054</x:v>
      </x:c>
      <x:c r="C21" t="str">
        <x:v>Yönetim Hizmeti</x:v>
      </x:c>
      <x:c r="D21" t="str">
        <x:v>Yönetim hizmet bedeli</x:v>
      </x:c>
      <x:c r="E21" t="str">
        <x:v>Banka</x:v>
      </x:c>
      <x:c r="F21" s="22" t="n">
        <x:v>2500</x:v>
      </x:c>
      <x:c r="G21" s="22" t="str">
        <x:v>B005-G0018</x:v>
      </x:c>
      <x:c r="H21" s="22" t="n">
        <x:f>$F21*Sakinler!$E$4</x:f>
        <x:v>266.1596958174905</x:v>
      </x:c>
      <x:c r="I21" s="22" t="n">
        <x:f>$F21*Sakinler!$E$5</x:f>
        <x:v>213.8783269961977</x:v>
      </x:c>
      <x:c r="J21" s="22" t="n">
        <x:f>$F21*Sakinler!$E$6</x:f>
        <x:v>228.13688212927758</x:v>
      </x:c>
      <x:c r="K21" s="22" t="n">
        <x:f>$F21*Sakinler!$E$7</x:f>
        <x:v>228.13688212927758</x:v>
      </x:c>
      <x:c r="L21" s="22" t="n">
        <x:f>$F21*Sakinler!$E$8</x:f>
        <x:v>228.13688212927758</x:v>
      </x:c>
      <x:c r="M21" s="22" t="n">
        <x:f>$F21*Sakinler!$E$9</x:f>
        <x:v>161.59695817490493</x:v>
      </x:c>
      <x:c r="N21" s="22" t="n">
        <x:f>$F21*Sakinler!$E$10</x:f>
        <x:v>266.1596958174905</x:v>
      </x:c>
      <x:c r="O21" s="22" t="n">
        <x:f>$F21*Sakinler!$E$11</x:f>
        <x:v>249.52471482889734</x:v>
      </x:c>
      <x:c r="P21" s="22" t="n">
        <x:f>$F21*Sakinler!$E$12</x:f>
        <x:v>344.5817490494297</x:v>
      </x:c>
      <x:c r="Q21" s="22" t="n">
        <x:f>$F21*Sakinler!$E$13</x:f>
        <x:v>313.68821292775664</x:v>
      </x:c>
      <x:c r="R21" s="22" t="n">
        <x:f>SUM(H21:Q21)</x:f>
        <x:v>2500</x:v>
      </x:c>
    </x:row>
    <x:row r="22">
      <x:c r="A22" s="20" t="n">
        <x:v>46086</x:v>
      </x:c>
      <x:c r="B22" s="20" t="n">
        <x:v>46082</x:v>
      </x:c>
      <x:c r="C22" t="str">
        <x:v>Ortak Alan Elektrik</x:v>
      </x:c>
      <x:c r="D22" t="str">
        <x:v>Mart ortak alan elektrik</x:v>
      </x:c>
      <x:c r="E22" t="str">
        <x:v>Banka</x:v>
      </x:c>
      <x:c r="F22" s="22" t="n">
        <x:v>1580</x:v>
      </x:c>
      <x:c r="G22" s="22" t="str">
        <x:v>B005-G0019</x:v>
      </x:c>
      <x:c r="H22" s="22" t="n">
        <x:f>$F22*Sakinler!$E$4</x:f>
        <x:v>168.21292775665398</x:v>
      </x:c>
      <x:c r="I22" s="22" t="n">
        <x:f>$F22*Sakinler!$E$5</x:f>
        <x:v>135.17110266159696</x:v>
      </x:c>
      <x:c r="J22" s="22" t="n">
        <x:f>$F22*Sakinler!$E$6</x:f>
        <x:v>144.18250950570342</x:v>
      </x:c>
      <x:c r="K22" s="22" t="n">
        <x:f>$F22*Sakinler!$E$7</x:f>
        <x:v>144.18250950570342</x:v>
      </x:c>
      <x:c r="L22" s="22" t="n">
        <x:f>$F22*Sakinler!$E$8</x:f>
        <x:v>144.18250950570342</x:v>
      </x:c>
      <x:c r="M22" s="22" t="n">
        <x:f>$F22*Sakinler!$E$9</x:f>
        <x:v>102.12927756653993</x:v>
      </x:c>
      <x:c r="N22" s="22" t="n">
        <x:f>$F22*Sakinler!$E$10</x:f>
        <x:v>168.21292775665398</x:v>
      </x:c>
      <x:c r="O22" s="22" t="n">
        <x:f>$F22*Sakinler!$E$11</x:f>
        <x:v>157.69961977186313</x:v>
      </x:c>
      <x:c r="P22" s="22" t="n">
        <x:f>$F22*Sakinler!$E$12</x:f>
        <x:v>217.77566539923956</x:v>
      </x:c>
      <x:c r="Q22" s="22" t="n">
        <x:f>$F22*Sakinler!$E$13</x:f>
        <x:v>198.25095057034218</x:v>
      </x:c>
      <x:c r="R22" s="22" t="n">
        <x:f>SUM(H22:Q22)</x:f>
        <x:v>1580</x:v>
      </x:c>
    </x:row>
    <x:row r="23">
      <x:c r="A23" s="20" t="n">
        <x:v>46090</x:v>
      </x:c>
      <x:c r="B23" s="20" t="n">
        <x:v>46082</x:v>
      </x:c>
      <x:c r="C23" t="str">
        <x:v>Ortak Alan Su</x:v>
      </x:c>
      <x:c r="D23" t="str">
        <x:v>Mart ortak alan su</x:v>
      </x:c>
      <x:c r="E23" t="str">
        <x:v>Banka</x:v>
      </x:c>
      <x:c r="F23" s="22" t="n">
        <x:v>890</x:v>
      </x:c>
      <x:c r="G23" s="22" t="str">
        <x:v>B005-G0020</x:v>
      </x:c>
      <x:c r="H23" s="22" t="n">
        <x:f>$F23*Sakinler!$E$4</x:f>
        <x:v>94.75285171102661</x:v>
      </x:c>
      <x:c r="I23" s="22" t="n">
        <x:f>$F23*Sakinler!$E$5</x:f>
        <x:v>76.14068441064639</x:v>
      </x:c>
      <x:c r="J23" s="22" t="n">
        <x:f>$F23*Sakinler!$E$6</x:f>
        <x:v>81.21673003802282</x:v>
      </x:c>
      <x:c r="K23" s="22" t="n">
        <x:f>$F23*Sakinler!$E$7</x:f>
        <x:v>81.21673003802282</x:v>
      </x:c>
      <x:c r="L23" s="22" t="n">
        <x:f>$F23*Sakinler!$E$8</x:f>
        <x:v>81.21673003802282</x:v>
      </x:c>
      <x:c r="M23" s="22" t="n">
        <x:f>$F23*Sakinler!$E$9</x:f>
        <x:v>57.52851711026616</x:v>
      </x:c>
      <x:c r="N23" s="22" t="n">
        <x:f>$F23*Sakinler!$E$10</x:f>
        <x:v>94.75285171102661</x:v>
      </x:c>
      <x:c r="O23" s="22" t="n">
        <x:f>$F23*Sakinler!$E$11</x:f>
        <x:v>88.83079847908746</x:v>
      </x:c>
      <x:c r="P23" s="22" t="n">
        <x:f>$F23*Sakinler!$E$12</x:f>
        <x:v>122.67110266159698</x:v>
      </x:c>
      <x:c r="Q23" s="22" t="n">
        <x:f>$F23*Sakinler!$E$13</x:f>
        <x:v>111.67300380228136</x:v>
      </x:c>
      <x:c r="R23" s="22" t="n">
        <x:f>SUM(H23:Q23)</x:f>
        <x:v>890</x:v>
      </x:c>
    </x:row>
    <x:row r="24">
      <x:c r="A24" s="20" t="n">
        <x:v>46094</x:v>
      </x:c>
      <x:c r="B24" s="20" t="n">
        <x:v>46082</x:v>
      </x:c>
      <x:c r="C24" t="str">
        <x:v>Asansör Bakımı</x:v>
      </x:c>
      <x:c r="D24" t="str">
        <x:v>Aylık asansör bakımı</x:v>
      </x:c>
      <x:c r="E24" t="str">
        <x:v>Banka</x:v>
      </x:c>
      <x:c r="F24" s="22" t="n">
        <x:v>2100</x:v>
      </x:c>
      <x:c r="G24" s="22" t="str">
        <x:v>B005-G0021</x:v>
      </x:c>
      <x:c r="H24" s="22" t="n">
        <x:f>$F24*Sakinler!$E$4</x:f>
        <x:v>223.574144486692</x:v>
      </x:c>
      <x:c r="I24" s="22" t="n">
        <x:f>$F24*Sakinler!$E$5</x:f>
        <x:v>179.65779467680608</x:v>
      </x:c>
      <x:c r="J24" s="22" t="n">
        <x:f>$F24*Sakinler!$E$6</x:f>
        <x:v>191.63498098859316</x:v>
      </x:c>
      <x:c r="K24" s="22" t="n">
        <x:f>$F24*Sakinler!$E$7</x:f>
        <x:v>191.63498098859316</x:v>
      </x:c>
      <x:c r="L24" s="22" t="n">
        <x:f>$F24*Sakinler!$E$8</x:f>
        <x:v>191.63498098859316</x:v>
      </x:c>
      <x:c r="M24" s="22" t="n">
        <x:f>$F24*Sakinler!$E$9</x:f>
        <x:v>135.74144486692015</x:v>
      </x:c>
      <x:c r="N24" s="22" t="n">
        <x:f>$F24*Sakinler!$E$10</x:f>
        <x:v>223.574144486692</x:v>
      </x:c>
      <x:c r="O24" s="22" t="n">
        <x:f>$F24*Sakinler!$E$11</x:f>
        <x:v>209.60076045627378</x:v>
      </x:c>
      <x:c r="P24" s="22" t="n">
        <x:f>$F24*Sakinler!$E$12</x:f>
        <x:v>289.44866920152094</x:v>
      </x:c>
      <x:c r="Q24" s="22" t="n">
        <x:f>$F24*Sakinler!$E$13</x:f>
        <x:v>263.4980988593156</x:v>
      </x:c>
      <x:c r="R24" s="22" t="n">
        <x:f>SUM(H24:Q24)</x:f>
        <x:v>2100</x:v>
      </x:c>
    </x:row>
    <x:row r="25">
      <x:c r="A25" s="20" t="n">
        <x:v>46098</x:v>
      </x:c>
      <x:c r="B25" s="20" t="n">
        <x:v>46082</x:v>
      </x:c>
      <x:c r="C25" t="str">
        <x:v>Onarım</x:v>
      </x:c>
      <x:c r="D25" t="str">
        <x:v>Tesisat ustası küçük onarım</x:v>
      </x:c>
      <x:c r="E25" t="str">
        <x:v>Nakit</x:v>
      </x:c>
      <x:c r="F25" s="22" t="n">
        <x:v>3800</x:v>
      </x:c>
      <x:c r="G25" s="22" t="str">
        <x:v>B005-G0022</x:v>
      </x:c>
      <x:c r="H25" s="22" t="n">
        <x:f>$F25*Sakinler!$E$4</x:f>
        <x:v>404.56273764258555</x:v>
      </x:c>
      <x:c r="I25" s="22" t="n">
        <x:f>$F25*Sakinler!$E$5</x:f>
        <x:v>325.09505703422053</x:v>
      </x:c>
      <x:c r="J25" s="22" t="n">
        <x:f>$F25*Sakinler!$E$6</x:f>
        <x:v>346.7680608365019</x:v>
      </x:c>
      <x:c r="K25" s="22" t="n">
        <x:f>$F25*Sakinler!$E$7</x:f>
        <x:v>346.7680608365019</x:v>
      </x:c>
      <x:c r="L25" s="22" t="n">
        <x:f>$F25*Sakinler!$E$8</x:f>
        <x:v>346.7680608365019</x:v>
      </x:c>
      <x:c r="M25" s="22" t="n">
        <x:f>$F25*Sakinler!$E$9</x:f>
        <x:v>245.62737642585552</x:v>
      </x:c>
      <x:c r="N25" s="22" t="n">
        <x:f>$F25*Sakinler!$E$10</x:f>
        <x:v>404.56273764258555</x:v>
      </x:c>
      <x:c r="O25" s="22" t="n">
        <x:f>$F25*Sakinler!$E$11</x:f>
        <x:v>379.27756653992395</x:v>
      </x:c>
      <x:c r="P25" s="22" t="n">
        <x:f>$F25*Sakinler!$E$12</x:f>
        <x:v>523.7642585551331</x:v>
      </x:c>
      <x:c r="Q25" s="22" t="n">
        <x:f>$F25*Sakinler!$E$13</x:f>
        <x:v>476.8060836501901</x:v>
      </x:c>
      <x:c r="R25" s="22" t="n">
        <x:f>SUM(H25:Q25)</x:f>
        <x:v>3800</x:v>
      </x:c>
    </x:row>
    <x:row r="26">
      <x:c r="A26" s="20" t="n">
        <x:v>46102</x:v>
      </x:c>
      <x:c r="B26" s="20" t="n">
        <x:v>46082</x:v>
      </x:c>
      <x:c r="C26" t="str">
        <x:v>Temizlik</x:v>
      </x:c>
      <x:c r="D26" t="str">
        <x:v>Ortak alan temizliği</x:v>
      </x:c>
      <x:c r="E26" t="str">
        <x:v>Nakit</x:v>
      </x:c>
      <x:c r="F26" s="22" t="n">
        <x:v>3000</x:v>
      </x:c>
      <x:c r="G26" s="22" t="str">
        <x:v>B005-G0023</x:v>
      </x:c>
      <x:c r="H26" s="22" t="n">
        <x:f>$F26*Sakinler!$E$4</x:f>
        <x:v>319.39163498098856</x:v>
      </x:c>
      <x:c r="I26" s="22" t="n">
        <x:f>$F26*Sakinler!$E$5</x:f>
        <x:v>256.65399239543723</x:v>
      </x:c>
      <x:c r="J26" s="22" t="n">
        <x:f>$F26*Sakinler!$E$6</x:f>
        <x:v>273.7642585551331</x:v>
      </x:c>
      <x:c r="K26" s="22" t="n">
        <x:f>$F26*Sakinler!$E$7</x:f>
        <x:v>273.7642585551331</x:v>
      </x:c>
      <x:c r="L26" s="22" t="n">
        <x:f>$F26*Sakinler!$E$8</x:f>
        <x:v>273.7642585551331</x:v>
      </x:c>
      <x:c r="M26" s="22" t="n">
        <x:f>$F26*Sakinler!$E$9</x:f>
        <x:v>193.91634980988593</x:v>
      </x:c>
      <x:c r="N26" s="22" t="n">
        <x:f>$F26*Sakinler!$E$10</x:f>
        <x:v>319.39163498098856</x:v>
      </x:c>
      <x:c r="O26" s="22" t="n">
        <x:f>$F26*Sakinler!$E$11</x:f>
        <x:v>299.4296577946768</x:v>
      </x:c>
      <x:c r="P26" s="22" t="n">
        <x:f>$F26*Sakinler!$E$12</x:f>
        <x:v>413.49809885931563</x:v>
      </x:c>
      <x:c r="Q26" s="22" t="n">
        <x:f>$F26*Sakinler!$E$13</x:f>
        <x:v>376.42585551330797</x:v>
      </x:c>
      <x:c r="R26" s="22" t="n">
        <x:f>SUM(H26:Q26)</x:f>
        <x:v>3000</x:v>
      </x:c>
    </x:row>
    <x:row r="27">
      <x:c r="A27" s="20" t="n">
        <x:v>46106</x:v>
      </x:c>
      <x:c r="B27" s="20" t="n">
        <x:v>46082</x:v>
      </x:c>
      <x:c r="C27" t="str">
        <x:v>Yönetim Hizmeti</x:v>
      </x:c>
      <x:c r="D27" t="str">
        <x:v>Yönetim hizmet bedeli</x:v>
      </x:c>
      <x:c r="E27" t="str">
        <x:v>Banka</x:v>
      </x:c>
      <x:c r="F27" s="22" t="n">
        <x:v>2500</x:v>
      </x:c>
      <x:c r="G27" s="22" t="str">
        <x:v>B005-G0024</x:v>
      </x:c>
      <x:c r="H27" s="22" t="n">
        <x:f>$F27*Sakinler!$E$4</x:f>
        <x:v>266.1596958174905</x:v>
      </x:c>
      <x:c r="I27" s="22" t="n">
        <x:f>$F27*Sakinler!$E$5</x:f>
        <x:v>213.8783269961977</x:v>
      </x:c>
      <x:c r="J27" s="22" t="n">
        <x:f>$F27*Sakinler!$E$6</x:f>
        <x:v>228.13688212927758</x:v>
      </x:c>
      <x:c r="K27" s="22" t="n">
        <x:f>$F27*Sakinler!$E$7</x:f>
        <x:v>228.13688212927758</x:v>
      </x:c>
      <x:c r="L27" s="22" t="n">
        <x:f>$F27*Sakinler!$E$8</x:f>
        <x:v>228.13688212927758</x:v>
      </x:c>
      <x:c r="M27" s="22" t="n">
        <x:f>$F27*Sakinler!$E$9</x:f>
        <x:v>161.59695817490493</x:v>
      </x:c>
      <x:c r="N27" s="22" t="n">
        <x:f>$F27*Sakinler!$E$10</x:f>
        <x:v>266.1596958174905</x:v>
      </x:c>
      <x:c r="O27" s="22" t="n">
        <x:f>$F27*Sakinler!$E$11</x:f>
        <x:v>249.52471482889734</x:v>
      </x:c>
      <x:c r="P27" s="22" t="n">
        <x:f>$F27*Sakinler!$E$12</x:f>
        <x:v>344.5817490494297</x:v>
      </x:c>
      <x:c r="Q27" s="22" t="n">
        <x:f>$F27*Sakinler!$E$13</x:f>
        <x:v>313.68821292775664</x:v>
      </x:c>
      <x:c r="R27" s="22" t="n">
        <x:f>SUM(H27:Q27)</x:f>
        <x:v>2500</x:v>
      </x:c>
    </x:row>
    <x:row r="28">
      <x:c r="A28" s="20" t="n">
        <x:v>46117</x:v>
      </x:c>
      <x:c r="B28" s="20" t="n">
        <x:v>46113</x:v>
      </x:c>
      <x:c r="C28" t="str">
        <x:v>Ortak Alan Elektrik</x:v>
      </x:c>
      <x:c r="D28" t="str">
        <x:v>Nisan ortak alan elektrik</x:v>
      </x:c>
      <x:c r="E28" t="str">
        <x:v>Banka</x:v>
      </x:c>
      <x:c r="F28" s="22" t="n">
        <x:v>1690</x:v>
      </x:c>
      <x:c r="G28" s="22" t="str">
        <x:v>B005-G0025</x:v>
      </x:c>
      <x:c r="H28" s="22" t="n">
        <x:f>$F28*Sakinler!$E$4</x:f>
        <x:v>179.92395437262357</x:v>
      </x:c>
      <x:c r="I28" s="22" t="n">
        <x:f>$F28*Sakinler!$E$5</x:f>
        <x:v>144.58174904942965</x:v>
      </x:c>
      <x:c r="J28" s="22" t="n">
        <x:f>$F28*Sakinler!$E$6</x:f>
        <x:v>154.22053231939165</x:v>
      </x:c>
      <x:c r="K28" s="22" t="n">
        <x:f>$F28*Sakinler!$E$7</x:f>
        <x:v>154.22053231939165</x:v>
      </x:c>
      <x:c r="L28" s="22" t="n">
        <x:f>$F28*Sakinler!$E$8</x:f>
        <x:v>154.22053231939165</x:v>
      </x:c>
      <x:c r="M28" s="22" t="n">
        <x:f>$F28*Sakinler!$E$9</x:f>
        <x:v>109.23954372623574</x:v>
      </x:c>
      <x:c r="N28" s="22" t="n">
        <x:f>$F28*Sakinler!$E$10</x:f>
        <x:v>179.92395437262357</x:v>
      </x:c>
      <x:c r="O28" s="22" t="n">
        <x:f>$F28*Sakinler!$E$11</x:f>
        <x:v>168.6787072243346</x:v>
      </x:c>
      <x:c r="P28" s="22" t="n">
        <x:f>$F28*Sakinler!$E$12</x:f>
        <x:v>232.93726235741448</x:v>
      </x:c>
      <x:c r="Q28" s="22" t="n">
        <x:f>$F28*Sakinler!$E$13</x:f>
        <x:v>212.05323193916348</x:v>
      </x:c>
      <x:c r="R28" s="22" t="n">
        <x:f>SUM(H28:Q28)</x:f>
        <x:v>1690</x:v>
      </x:c>
    </x:row>
    <x:row r="29">
      <x:c r="A29" s="20" t="n">
        <x:v>46121</x:v>
      </x:c>
      <x:c r="B29" s="20" t="n">
        <x:v>46113</x:v>
      </x:c>
      <x:c r="C29" t="str">
        <x:v>Ortak Alan Su</x:v>
      </x:c>
      <x:c r="D29" t="str">
        <x:v>Nisan ortak alan su</x:v>
      </x:c>
      <x:c r="E29" t="str">
        <x:v>Banka</x:v>
      </x:c>
      <x:c r="F29" s="22" t="n">
        <x:v>910</x:v>
      </x:c>
      <x:c r="G29" s="22" t="str">
        <x:v>B005-G0026</x:v>
      </x:c>
      <x:c r="H29" s="22" t="n">
        <x:f>$F29*Sakinler!$E$4</x:f>
        <x:v>96.88212927756653</x:v>
      </x:c>
      <x:c r="I29" s="22" t="n">
        <x:f>$F29*Sakinler!$E$5</x:f>
        <x:v>77.85171102661596</x:v>
      </x:c>
      <x:c r="J29" s="22" t="n">
        <x:f>$F29*Sakinler!$E$6</x:f>
        <x:v>83.04182509505704</x:v>
      </x:c>
      <x:c r="K29" s="22" t="n">
        <x:f>$F29*Sakinler!$E$7</x:f>
        <x:v>83.04182509505704</x:v>
      </x:c>
      <x:c r="L29" s="22" t="n">
        <x:f>$F29*Sakinler!$E$8</x:f>
        <x:v>83.04182509505704</x:v>
      </x:c>
      <x:c r="M29" s="22" t="n">
        <x:f>$F29*Sakinler!$E$9</x:f>
        <x:v>58.8212927756654</x:v>
      </x:c>
      <x:c r="N29" s="22" t="n">
        <x:f>$F29*Sakinler!$E$10</x:f>
        <x:v>96.88212927756653</x:v>
      </x:c>
      <x:c r="O29" s="22" t="n">
        <x:f>$F29*Sakinler!$E$11</x:f>
        <x:v>90.82699619771864</x:v>
      </x:c>
      <x:c r="P29" s="22" t="n">
        <x:f>$F29*Sakinler!$E$12</x:f>
        <x:v>125.4277566539924</x:v>
      </x:c>
      <x:c r="Q29" s="22" t="n">
        <x:f>$F29*Sakinler!$E$13</x:f>
        <x:v>114.18250950570341</x:v>
      </x:c>
      <x:c r="R29" s="22" t="n">
        <x:f>SUM(H29:Q29)</x:f>
        <x:v>910</x:v>
      </x:c>
    </x:row>
    <x:row r="30">
      <x:c r="A30" s="20" t="n">
        <x:v>46125</x:v>
      </x:c>
      <x:c r="B30" s="20" t="n">
        <x:v>46113</x:v>
      </x:c>
      <x:c r="C30" t="str">
        <x:v>Asansör Bakımı</x:v>
      </x:c>
      <x:c r="D30" t="str">
        <x:v>Aylık asansör bakımı</x:v>
      </x:c>
      <x:c r="E30" t="str">
        <x:v>Banka</x:v>
      </x:c>
      <x:c r="F30" s="22" t="n">
        <x:v>2200</x:v>
      </x:c>
      <x:c r="G30" s="22" t="str">
        <x:v>B005-G0027</x:v>
      </x:c>
      <x:c r="H30" s="22" t="n">
        <x:f>$F30*Sakinler!$E$4</x:f>
        <x:v>234.22053231939162</x:v>
      </x:c>
      <x:c r="I30" s="22" t="n">
        <x:f>$F30*Sakinler!$E$5</x:f>
        <x:v>188.21292775665398</x:v>
      </x:c>
      <x:c r="J30" s="22" t="n">
        <x:f>$F30*Sakinler!$E$6</x:f>
        <x:v>200.76045627376428</x:v>
      </x:c>
      <x:c r="K30" s="22" t="n">
        <x:f>$F30*Sakinler!$E$7</x:f>
        <x:v>200.76045627376428</x:v>
      </x:c>
      <x:c r="L30" s="22" t="n">
        <x:f>$F30*Sakinler!$E$8</x:f>
        <x:v>200.76045627376428</x:v>
      </x:c>
      <x:c r="M30" s="22" t="n">
        <x:f>$F30*Sakinler!$E$9</x:f>
        <x:v>142.20532319391634</x:v>
      </x:c>
      <x:c r="N30" s="22" t="n">
        <x:f>$F30*Sakinler!$E$10</x:f>
        <x:v>234.22053231939162</x:v>
      </x:c>
      <x:c r="O30" s="22" t="n">
        <x:f>$F30*Sakinler!$E$11</x:f>
        <x:v>219.58174904942967</x:v>
      </x:c>
      <x:c r="P30" s="22" t="n">
        <x:f>$F30*Sakinler!$E$12</x:f>
        <x:v>303.2319391634981</x:v>
      </x:c>
      <x:c r="Q30" s="22" t="n">
        <x:f>$F30*Sakinler!$E$13</x:f>
        <x:v>276.04562737642584</x:v>
      </x:c>
      <x:c r="R30" s="22" t="n">
        <x:f>SUM(H30:Q30)</x:f>
        <x:v>2200</x:v>
      </x:c>
    </x:row>
    <x:row r="31">
      <x:c r="A31" s="20" t="n">
        <x:v>46129</x:v>
      </x:c>
      <x:c r="B31" s="20" t="n">
        <x:v>46113</x:v>
      </x:c>
      <x:c r="C31" t="str">
        <x:v>Hidrofor Bakımı</x:v>
      </x:c>
      <x:c r="D31" t="str">
        <x:v>Hidrofor parça değişimi</x:v>
      </x:c>
      <x:c r="E31" t="str">
        <x:v>Banka</x:v>
      </x:c>
      <x:c r="F31" s="22" t="n">
        <x:v>6200</x:v>
      </x:c>
      <x:c r="G31" s="22" t="str">
        <x:v>B005-G0028</x:v>
      </x:c>
      <x:c r="H31" s="22" t="n">
        <x:f>$F31*Sakinler!$E$4</x:f>
        <x:v>660.0760456273764</x:v>
      </x:c>
      <x:c r="I31" s="22" t="n">
        <x:f>$F31*Sakinler!$E$5</x:f>
        <x:v>530.4182509505703</x:v>
      </x:c>
      <x:c r="J31" s="22" t="n">
        <x:f>$F31*Sakinler!$E$6</x:f>
        <x:v>565.7794676806084</x:v>
      </x:c>
      <x:c r="K31" s="22" t="n">
        <x:f>$F31*Sakinler!$E$7</x:f>
        <x:v>565.7794676806084</x:v>
      </x:c>
      <x:c r="L31" s="22" t="n">
        <x:f>$F31*Sakinler!$E$8</x:f>
        <x:v>565.7794676806084</x:v>
      </x:c>
      <x:c r="M31" s="22" t="n">
        <x:f>$F31*Sakinler!$E$9</x:f>
        <x:v>400.76045627376425</x:v>
      </x:c>
      <x:c r="N31" s="22" t="n">
        <x:f>$F31*Sakinler!$E$10</x:f>
        <x:v>660.0760456273764</x:v>
      </x:c>
      <x:c r="O31" s="22" t="n">
        <x:f>$F31*Sakinler!$E$11</x:f>
        <x:v>618.8212927756655</x:v>
      </x:c>
      <x:c r="P31" s="22" t="n">
        <x:f>$F31*Sakinler!$E$12</x:f>
        <x:v>854.5627376425856</x:v>
      </x:c>
      <x:c r="Q31" s="22" t="n">
        <x:f>$F31*Sakinler!$E$13</x:f>
        <x:v>777.9467680608365</x:v>
      </x:c>
      <x:c r="R31" s="22" t="n">
        <x:f>SUM(H31:Q31)</x:f>
        <x:v>6200</x:v>
      </x:c>
    </x:row>
    <x:row r="32">
      <x:c r="A32" s="20" t="n">
        <x:v>46133</x:v>
      </x:c>
      <x:c r="B32" s="20" t="n">
        <x:v>46113</x:v>
      </x:c>
      <x:c r="C32" t="str">
        <x:v>Bahçe Bakımı</x:v>
      </x:c>
      <x:c r="D32" t="str">
        <x:v>Bahçe düzenleme ve bakım</x:v>
      </x:c>
      <x:c r="E32" t="str">
        <x:v>Nakit</x:v>
      </x:c>
      <x:c r="F32" s="22" t="n">
        <x:v>2600</x:v>
      </x:c>
      <x:c r="G32" s="22" t="str">
        <x:v>B005-G0029</x:v>
      </x:c>
      <x:c r="H32" s="22" t="n">
        <x:f>$F32*Sakinler!$E$4</x:f>
        <x:v>276.8060836501901</x:v>
      </x:c>
      <x:c r="I32" s="22" t="n">
        <x:f>$F32*Sakinler!$E$5</x:f>
        <x:v>222.4334600760456</x:v>
      </x:c>
      <x:c r="J32" s="22" t="n">
        <x:f>$F32*Sakinler!$E$6</x:f>
        <x:v>237.26235741444867</x:v>
      </x:c>
      <x:c r="K32" s="22" t="n">
        <x:f>$F32*Sakinler!$E$7</x:f>
        <x:v>237.26235741444867</x:v>
      </x:c>
      <x:c r="L32" s="22" t="n">
        <x:f>$F32*Sakinler!$E$8</x:f>
        <x:v>237.26235741444867</x:v>
      </x:c>
      <x:c r="M32" s="22" t="n">
        <x:f>$F32*Sakinler!$E$9</x:f>
        <x:v>168.06083650190112</x:v>
      </x:c>
      <x:c r="N32" s="22" t="n">
        <x:f>$F32*Sakinler!$E$10</x:f>
        <x:v>276.8060836501901</x:v>
      </x:c>
      <x:c r="O32" s="22" t="n">
        <x:f>$F32*Sakinler!$E$11</x:f>
        <x:v>259.5057034220533</x:v>
      </x:c>
      <x:c r="P32" s="22" t="n">
        <x:f>$F32*Sakinler!$E$12</x:f>
        <x:v>358.3650190114069</x:v>
      </x:c>
      <x:c r="Q32" s="22" t="n">
        <x:f>$F32*Sakinler!$E$13</x:f>
        <x:v>326.2357414448669</x:v>
      </x:c>
      <x:c r="R32" s="22" t="n">
        <x:f>SUM(H32:Q32)</x:f>
        <x:v>2600</x:v>
      </x:c>
    </x:row>
    <x:row r="33">
      <x:c r="A33" s="20" t="n">
        <x:v>46137</x:v>
      </x:c>
      <x:c r="B33" s="20" t="n">
        <x:v>46113</x:v>
      </x:c>
      <x:c r="C33" t="str">
        <x:v>Yönetim Hizmeti</x:v>
      </x:c>
      <x:c r="D33" t="str">
        <x:v>Yönetim hizmet bedeli</x:v>
      </x:c>
      <x:c r="E33" t="str">
        <x:v>Banka</x:v>
      </x:c>
      <x:c r="F33" s="22" t="n">
        <x:v>2500</x:v>
      </x:c>
      <x:c r="G33" s="22" t="str">
        <x:v>B005-G0030</x:v>
      </x:c>
      <x:c r="H33" s="22" t="n">
        <x:f>$F33*Sakinler!$E$4</x:f>
        <x:v>266.1596958174905</x:v>
      </x:c>
      <x:c r="I33" s="22" t="n">
        <x:f>$F33*Sakinler!$E$5</x:f>
        <x:v>213.8783269961977</x:v>
      </x:c>
      <x:c r="J33" s="22" t="n">
        <x:f>$F33*Sakinler!$E$6</x:f>
        <x:v>228.13688212927758</x:v>
      </x:c>
      <x:c r="K33" s="22" t="n">
        <x:f>$F33*Sakinler!$E$7</x:f>
        <x:v>228.13688212927758</x:v>
      </x:c>
      <x:c r="L33" s="22" t="n">
        <x:f>$F33*Sakinler!$E$8</x:f>
        <x:v>228.13688212927758</x:v>
      </x:c>
      <x:c r="M33" s="22" t="n">
        <x:f>$F33*Sakinler!$E$9</x:f>
        <x:v>161.59695817490493</x:v>
      </x:c>
      <x:c r="N33" s="22" t="n">
        <x:f>$F33*Sakinler!$E$10</x:f>
        <x:v>266.1596958174905</x:v>
      </x:c>
      <x:c r="O33" s="22" t="n">
        <x:f>$F33*Sakinler!$E$11</x:f>
        <x:v>249.52471482889734</x:v>
      </x:c>
      <x:c r="P33" s="22" t="n">
        <x:f>$F33*Sakinler!$E$12</x:f>
        <x:v>344.5817490494297</x:v>
      </x:c>
      <x:c r="Q33" s="22" t="n">
        <x:f>$F33*Sakinler!$E$13</x:f>
        <x:v>313.68821292775664</x:v>
      </x:c>
      <x:c r="R33" s="22" t="n">
        <x:f>SUM(H33:Q33)</x:f>
        <x:v>2500</x:v>
      </x:c>
    </x:row>
    <x:row r="34">
      <x:c r="A34" s="20" t="n">
        <x:v>46147</x:v>
      </x:c>
      <x:c r="B34" s="20" t="n">
        <x:v>46143</x:v>
      </x:c>
      <x:c r="C34" t="str">
        <x:v>Ortak Alan Elektrik</x:v>
      </x:c>
      <x:c r="D34" t="str">
        <x:v>Mayıs ortak alan elektrik</x:v>
      </x:c>
      <x:c r="E34" t="str">
        <x:v>Banka</x:v>
      </x:c>
      <x:c r="F34" s="22" t="n">
        <x:v>1810</x:v>
      </x:c>
      <x:c r="G34" s="22" t="str">
        <x:v>B005-G0031</x:v>
      </x:c>
      <x:c r="H34" s="22" t="n">
        <x:f>$F34*Sakinler!$E$4</x:f>
        <x:v>192.6996197718631</x:v>
      </x:c>
      <x:c r="I34" s="22" t="n">
        <x:f>$F34*Sakinler!$E$5</x:f>
        <x:v>154.84790874524714</x:v>
      </x:c>
      <x:c r="J34" s="22" t="n">
        <x:f>$F34*Sakinler!$E$6</x:f>
        <x:v>165.17110266159696</x:v>
      </x:c>
      <x:c r="K34" s="22" t="n">
        <x:f>$F34*Sakinler!$E$7</x:f>
        <x:v>165.17110266159696</x:v>
      </x:c>
      <x:c r="L34" s="22" t="n">
        <x:f>$F34*Sakinler!$E$8</x:f>
        <x:v>165.17110266159696</x:v>
      </x:c>
      <x:c r="M34" s="22" t="n">
        <x:f>$F34*Sakinler!$E$9</x:f>
        <x:v>116.99619771863118</x:v>
      </x:c>
      <x:c r="N34" s="22" t="n">
        <x:f>$F34*Sakinler!$E$10</x:f>
        <x:v>192.6996197718631</x:v>
      </x:c>
      <x:c r="O34" s="22" t="n">
        <x:f>$F34*Sakinler!$E$11</x:f>
        <x:v>180.65589353612168</x:v>
      </x:c>
      <x:c r="P34" s="22" t="n">
        <x:f>$F34*Sakinler!$E$12</x:f>
        <x:v>249.4771863117871</x:v>
      </x:c>
      <x:c r="Q34" s="22" t="n">
        <x:f>$F34*Sakinler!$E$13</x:f>
        <x:v>227.1102661596958</x:v>
      </x:c>
      <x:c r="R34" s="22" t="n">
        <x:f>SUM(H34:Q34)</x:f>
        <x:v>1810</x:v>
      </x:c>
    </x:row>
    <x:row r="35">
      <x:c r="A35" s="20" t="n">
        <x:v>46151</x:v>
      </x:c>
      <x:c r="B35" s="20" t="n">
        <x:v>46143</x:v>
      </x:c>
      <x:c r="C35" t="str">
        <x:v>Ortak Alan Su</x:v>
      </x:c>
      <x:c r="D35" t="str">
        <x:v>Mayıs ortak alan su</x:v>
      </x:c>
      <x:c r="E35" t="str">
        <x:v>Banka</x:v>
      </x:c>
      <x:c r="F35" s="22" t="n">
        <x:v>980</x:v>
      </x:c>
      <x:c r="G35" s="22" t="str">
        <x:v>B005-G0032</x:v>
      </x:c>
      <x:c r="H35" s="22" t="n">
        <x:f>$F35*Sakinler!$E$4</x:f>
        <x:v>104.33460076045627</x:v>
      </x:c>
      <x:c r="I35" s="22" t="n">
        <x:f>$F35*Sakinler!$E$5</x:f>
        <x:v>83.8403041825095</x:v>
      </x:c>
      <x:c r="J35" s="22" t="n">
        <x:f>$F35*Sakinler!$E$6</x:f>
        <x:v>89.42965779467681</x:v>
      </x:c>
      <x:c r="K35" s="22" t="n">
        <x:f>$F35*Sakinler!$E$7</x:f>
        <x:v>89.42965779467681</x:v>
      </x:c>
      <x:c r="L35" s="22" t="n">
        <x:f>$F35*Sakinler!$E$8</x:f>
        <x:v>89.42965779467681</x:v>
      </x:c>
      <x:c r="M35" s="22" t="n">
        <x:f>$F35*Sakinler!$E$9</x:f>
        <x:v>63.346007604562736</x:v>
      </x:c>
      <x:c r="N35" s="22" t="n">
        <x:f>$F35*Sakinler!$E$10</x:f>
        <x:v>104.33460076045627</x:v>
      </x:c>
      <x:c r="O35" s="22" t="n">
        <x:f>$F35*Sakinler!$E$11</x:f>
        <x:v>97.81368821292776</x:v>
      </x:c>
      <x:c r="P35" s="22" t="n">
        <x:f>$F35*Sakinler!$E$12</x:f>
        <x:v>135.07604562737643</x:v>
      </x:c>
      <x:c r="Q35" s="22" t="n">
        <x:f>$F35*Sakinler!$E$13</x:f>
        <x:v>122.9657794676806</x:v>
      </x:c>
      <x:c r="R35" s="22" t="n">
        <x:f>SUM(H35:Q35)</x:f>
        <x:v>980</x:v>
      </x:c>
    </x:row>
    <x:row r="36">
      <x:c r="A36" s="20" t="n">
        <x:v>46155</x:v>
      </x:c>
      <x:c r="B36" s="20" t="n">
        <x:v>46143</x:v>
      </x:c>
      <x:c r="C36" t="str">
        <x:v>Asansör Bakımı</x:v>
      </x:c>
      <x:c r="D36" t="str">
        <x:v>Aylık asansör bakımı</x:v>
      </x:c>
      <x:c r="E36" t="str">
        <x:v>Banka</x:v>
      </x:c>
      <x:c r="F36" s="22" t="n">
        <x:v>2200</x:v>
      </x:c>
      <x:c r="G36" s="22" t="str">
        <x:v>B005-G0033</x:v>
      </x:c>
      <x:c r="H36" s="22" t="n">
        <x:f>$F36*Sakinler!$E$4</x:f>
        <x:v>234.22053231939162</x:v>
      </x:c>
      <x:c r="I36" s="22" t="n">
        <x:f>$F36*Sakinler!$E$5</x:f>
        <x:v>188.21292775665398</x:v>
      </x:c>
      <x:c r="J36" s="22" t="n">
        <x:f>$F36*Sakinler!$E$6</x:f>
        <x:v>200.76045627376428</x:v>
      </x:c>
      <x:c r="K36" s="22" t="n">
        <x:f>$F36*Sakinler!$E$7</x:f>
        <x:v>200.76045627376428</x:v>
      </x:c>
      <x:c r="L36" s="22" t="n">
        <x:f>$F36*Sakinler!$E$8</x:f>
        <x:v>200.76045627376428</x:v>
      </x:c>
      <x:c r="M36" s="22" t="n">
        <x:f>$F36*Sakinler!$E$9</x:f>
        <x:v>142.20532319391634</x:v>
      </x:c>
      <x:c r="N36" s="22" t="n">
        <x:f>$F36*Sakinler!$E$10</x:f>
        <x:v>234.22053231939162</x:v>
      </x:c>
      <x:c r="O36" s="22" t="n">
        <x:f>$F36*Sakinler!$E$11</x:f>
        <x:v>219.58174904942967</x:v>
      </x:c>
      <x:c r="P36" s="22" t="n">
        <x:f>$F36*Sakinler!$E$12</x:f>
        <x:v>303.2319391634981</x:v>
      </x:c>
      <x:c r="Q36" s="22" t="n">
        <x:f>$F36*Sakinler!$E$13</x:f>
        <x:v>276.04562737642584</x:v>
      </x:c>
      <x:c r="R36" s="22" t="n">
        <x:f>SUM(H36:Q36)</x:f>
        <x:v>2200</x:v>
      </x:c>
    </x:row>
    <x:row r="37">
      <x:c r="A37" s="20" t="n">
        <x:v>46159</x:v>
      </x:c>
      <x:c r="B37" s="20" t="n">
        <x:v>46143</x:v>
      </x:c>
      <x:c r="C37" t="str">
        <x:v>Jeneratör Bakımı</x:v>
      </x:c>
      <x:c r="D37" t="str">
        <x:v>Jeneratör yağ ve filtre bakımı</x:v>
      </x:c>
      <x:c r="E37" t="str">
        <x:v>Banka</x:v>
      </x:c>
      <x:c r="F37" s="22" t="n">
        <x:v>3600</x:v>
      </x:c>
      <x:c r="G37" s="22" t="str">
        <x:v>B005-G0034</x:v>
      </x:c>
      <x:c r="H37" s="22" t="n">
        <x:f>$F37*Sakinler!$E$4</x:f>
        <x:v>383.2699619771863</x:v>
      </x:c>
      <x:c r="I37" s="22" t="n">
        <x:f>$F37*Sakinler!$E$5</x:f>
        <x:v>307.9847908745247</x:v>
      </x:c>
      <x:c r="J37" s="22" t="n">
        <x:f>$F37*Sakinler!$E$6</x:f>
        <x:v>328.5171102661597</x:v>
      </x:c>
      <x:c r="K37" s="22" t="n">
        <x:f>$F37*Sakinler!$E$7</x:f>
        <x:v>328.5171102661597</x:v>
      </x:c>
      <x:c r="L37" s="22" t="n">
        <x:f>$F37*Sakinler!$E$8</x:f>
        <x:v>328.5171102661597</x:v>
      </x:c>
      <x:c r="M37" s="22" t="n">
        <x:f>$F37*Sakinler!$E$9</x:f>
        <x:v>232.6996197718631</x:v>
      </x:c>
      <x:c r="N37" s="22" t="n">
        <x:f>$F37*Sakinler!$E$10</x:f>
        <x:v>383.2699619771863</x:v>
      </x:c>
      <x:c r="O37" s="22" t="n">
        <x:f>$F37*Sakinler!$E$11</x:f>
        <x:v>359.3155893536122</x:v>
      </x:c>
      <x:c r="P37" s="22" t="n">
        <x:f>$F37*Sakinler!$E$12</x:f>
        <x:v>496.19771863117876</x:v>
      </x:c>
      <x:c r="Q37" s="22" t="n">
        <x:f>$F37*Sakinler!$E$13</x:f>
        <x:v>451.71102661596956</x:v>
      </x:c>
      <x:c r="R37" s="22" t="n">
        <x:f>SUM(H37:Q37)</x:f>
        <x:v>3600</x:v>
      </x:c>
    </x:row>
    <x:row r="38">
      <x:c r="A38" s="20" t="n">
        <x:v>46163</x:v>
      </x:c>
      <x:c r="B38" s="20" t="n">
        <x:v>46143</x:v>
      </x:c>
      <x:c r="C38" t="str">
        <x:v>Temizlik</x:v>
      </x:c>
      <x:c r="D38" t="str">
        <x:v>Ortak alan temizliği</x:v>
      </x:c>
      <x:c r="E38" t="str">
        <x:v>Nakit</x:v>
      </x:c>
      <x:c r="F38" s="22" t="n">
        <x:v>3000</x:v>
      </x:c>
      <x:c r="G38" s="22" t="str">
        <x:v>B005-G0035</x:v>
      </x:c>
      <x:c r="H38" s="22" t="n">
        <x:f>$F38*Sakinler!$E$4</x:f>
        <x:v>319.39163498098856</x:v>
      </x:c>
      <x:c r="I38" s="22" t="n">
        <x:f>$F38*Sakinler!$E$5</x:f>
        <x:v>256.65399239543723</x:v>
      </x:c>
      <x:c r="J38" s="22" t="n">
        <x:f>$F38*Sakinler!$E$6</x:f>
        <x:v>273.7642585551331</x:v>
      </x:c>
      <x:c r="K38" s="22" t="n">
        <x:f>$F38*Sakinler!$E$7</x:f>
        <x:v>273.7642585551331</x:v>
      </x:c>
      <x:c r="L38" s="22" t="n">
        <x:f>$F38*Sakinler!$E$8</x:f>
        <x:v>273.7642585551331</x:v>
      </x:c>
      <x:c r="M38" s="22" t="n">
        <x:f>$F38*Sakinler!$E$9</x:f>
        <x:v>193.91634980988593</x:v>
      </x:c>
      <x:c r="N38" s="22" t="n">
        <x:f>$F38*Sakinler!$E$10</x:f>
        <x:v>319.39163498098856</x:v>
      </x:c>
      <x:c r="O38" s="22" t="n">
        <x:f>$F38*Sakinler!$E$11</x:f>
        <x:v>299.4296577946768</x:v>
      </x:c>
      <x:c r="P38" s="22" t="n">
        <x:f>$F38*Sakinler!$E$12</x:f>
        <x:v>413.49809885931563</x:v>
      </x:c>
      <x:c r="Q38" s="22" t="n">
        <x:f>$F38*Sakinler!$E$13</x:f>
        <x:v>376.42585551330797</x:v>
      </x:c>
      <x:c r="R38" s="22" t="n">
        <x:f>SUM(H38:Q38)</x:f>
        <x:v>3000</x:v>
      </x:c>
    </x:row>
    <x:row r="39">
      <x:c r="A39" s="20" t="n">
        <x:v>46167</x:v>
      </x:c>
      <x:c r="B39" s="20" t="n">
        <x:v>46143</x:v>
      </x:c>
      <x:c r="C39" t="str">
        <x:v>Yönetim Hizmeti</x:v>
      </x:c>
      <x:c r="D39" t="str">
        <x:v>Yönetim hizmet bedeli</x:v>
      </x:c>
      <x:c r="E39" t="str">
        <x:v>Banka</x:v>
      </x:c>
      <x:c r="F39" s="22" t="n">
        <x:v>2500</x:v>
      </x:c>
      <x:c r="G39" s="22" t="str">
        <x:v>B005-G0036</x:v>
      </x:c>
      <x:c r="H39" s="22" t="n">
        <x:f>$F39*Sakinler!$E$4</x:f>
        <x:v>266.1596958174905</x:v>
      </x:c>
      <x:c r="I39" s="22" t="n">
        <x:f>$F39*Sakinler!$E$5</x:f>
        <x:v>213.8783269961977</x:v>
      </x:c>
      <x:c r="J39" s="22" t="n">
        <x:f>$F39*Sakinler!$E$6</x:f>
        <x:v>228.13688212927758</x:v>
      </x:c>
      <x:c r="K39" s="22" t="n">
        <x:f>$F39*Sakinler!$E$7</x:f>
        <x:v>228.13688212927758</x:v>
      </x:c>
      <x:c r="L39" s="22" t="n">
        <x:f>$F39*Sakinler!$E$8</x:f>
        <x:v>228.13688212927758</x:v>
      </x:c>
      <x:c r="M39" s="22" t="n">
        <x:f>$F39*Sakinler!$E$9</x:f>
        <x:v>161.59695817490493</x:v>
      </x:c>
      <x:c r="N39" s="22" t="n">
        <x:f>$F39*Sakinler!$E$10</x:f>
        <x:v>266.1596958174905</x:v>
      </x:c>
      <x:c r="O39" s="22" t="n">
        <x:f>$F39*Sakinler!$E$11</x:f>
        <x:v>249.52471482889734</x:v>
      </x:c>
      <x:c r="P39" s="22" t="n">
        <x:f>$F39*Sakinler!$E$12</x:f>
        <x:v>344.5817490494297</x:v>
      </x:c>
      <x:c r="Q39" s="22" t="n">
        <x:f>$F39*Sakinler!$E$13</x:f>
        <x:v>313.68821292775664</x:v>
      </x:c>
      <x:c r="R39" s="22" t="n">
        <x:f>SUM(H39:Q39)</x:f>
        <x:v>2500</x:v>
      </x:c>
    </x:row>
    <x:row r="40">
      <x:c r="A40" s="20" t="n">
        <x:v>46178</x:v>
      </x:c>
      <x:c r="B40" s="20" t="n">
        <x:v>46174</x:v>
      </x:c>
      <x:c r="C40" t="str">
        <x:v>Ortak Alan Elektrik</x:v>
      </x:c>
      <x:c r="D40" t="str">
        <x:v>Haziran ortak alan elektrik</x:v>
      </x:c>
      <x:c r="E40" t="str">
        <x:v>Banka</x:v>
      </x:c>
      <x:c r="F40" s="22" t="n">
        <x:v>1940</x:v>
      </x:c>
      <x:c r="G40" s="22" t="str">
        <x:v>B005-G0037</x:v>
      </x:c>
      <x:c r="H40" s="22" t="n">
        <x:f>$F40*Sakinler!$E$4</x:f>
        <x:v>206.53992395437263</x:v>
      </x:c>
      <x:c r="I40" s="22" t="n">
        <x:f>$F40*Sakinler!$E$5</x:f>
        <x:v>165.9695817490494</x:v>
      </x:c>
      <x:c r="J40" s="22" t="n">
        <x:f>$F40*Sakinler!$E$6</x:f>
        <x:v>177.0342205323194</x:v>
      </x:c>
      <x:c r="K40" s="22" t="n">
        <x:f>$F40*Sakinler!$E$7</x:f>
        <x:v>177.0342205323194</x:v>
      </x:c>
      <x:c r="L40" s="22" t="n">
        <x:f>$F40*Sakinler!$E$8</x:f>
        <x:v>177.0342205323194</x:v>
      </x:c>
      <x:c r="M40" s="22" t="n">
        <x:f>$F40*Sakinler!$E$9</x:f>
        <x:v>125.39923954372622</x:v>
      </x:c>
      <x:c r="N40" s="22" t="n">
        <x:f>$F40*Sakinler!$E$10</x:f>
        <x:v>206.53992395437263</x:v>
      </x:c>
      <x:c r="O40" s="22" t="n">
        <x:f>$F40*Sakinler!$E$11</x:f>
        <x:v>193.63117870722434</x:v>
      </x:c>
      <x:c r="P40" s="22" t="n">
        <x:f>$F40*Sakinler!$E$12</x:f>
        <x:v>267.39543726235746</x:v>
      </x:c>
      <x:c r="Q40" s="22" t="n">
        <x:f>$F40*Sakinler!$E$13</x:f>
        <x:v>243.42205323193915</x:v>
      </x:c>
      <x:c r="R40" s="22" t="n">
        <x:f>SUM(H40:Q40)</x:f>
        <x:v>1940</x:v>
      </x:c>
    </x:row>
    <x:row r="41">
      <x:c r="A41" s="20" t="n">
        <x:v>46182</x:v>
      </x:c>
      <x:c r="B41" s="20" t="n">
        <x:v>46174</x:v>
      </x:c>
      <x:c r="C41" t="str">
        <x:v>Ortak Alan Su</x:v>
      </x:c>
      <x:c r="D41" t="str">
        <x:v>Haziran ortak alan su</x:v>
      </x:c>
      <x:c r="E41" t="str">
        <x:v>Banka</x:v>
      </x:c>
      <x:c r="F41" s="22" t="n">
        <x:v>1020</x:v>
      </x:c>
      <x:c r="G41" s="22" t="str">
        <x:v>B005-G0038</x:v>
      </x:c>
      <x:c r="H41" s="22" t="n">
        <x:f>$F41*Sakinler!$E$4</x:f>
        <x:v>108.59315589353612</x:v>
      </x:c>
      <x:c r="I41" s="22" t="n">
        <x:f>$F41*Sakinler!$E$5</x:f>
        <x:v>87.26235741444866</x:v>
      </x:c>
      <x:c r="J41" s="22" t="n">
        <x:f>$F41*Sakinler!$E$6</x:f>
        <x:v>93.07984790874525</x:v>
      </x:c>
      <x:c r="K41" s="22" t="n">
        <x:f>$F41*Sakinler!$E$7</x:f>
        <x:v>93.07984790874525</x:v>
      </x:c>
      <x:c r="L41" s="22" t="n">
        <x:f>$F41*Sakinler!$E$8</x:f>
        <x:v>93.07984790874525</x:v>
      </x:c>
      <x:c r="M41" s="22" t="n">
        <x:f>$F41*Sakinler!$E$9</x:f>
        <x:v>65.93155893536121</x:v>
      </x:c>
      <x:c r="N41" s="22" t="n">
        <x:f>$F41*Sakinler!$E$10</x:f>
        <x:v>108.59315589353612</x:v>
      </x:c>
      <x:c r="O41" s="22" t="n">
        <x:f>$F41*Sakinler!$E$11</x:f>
        <x:v>101.80608365019012</x:v>
      </x:c>
      <x:c r="P41" s="22" t="n">
        <x:f>$F41*Sakinler!$E$12</x:f>
        <x:v>140.58935361216732</x:v>
      </x:c>
      <x:c r="Q41" s="22" t="n">
        <x:f>$F41*Sakinler!$E$13</x:f>
        <x:v>127.9847908745247</x:v>
      </x:c>
      <x:c r="R41" s="22" t="n">
        <x:f>SUM(H41:Q41)</x:f>
        <x:v>1020</x:v>
      </x:c>
    </x:row>
    <x:row r="42">
      <x:c r="A42" s="20" t="n">
        <x:v>46186</x:v>
      </x:c>
      <x:c r="B42" s="20" t="n">
        <x:v>46174</x:v>
      </x:c>
      <x:c r="C42" t="str">
        <x:v>Asansör Bakımı</x:v>
      </x:c>
      <x:c r="D42" t="str">
        <x:v>Aylık asansör bakımı</x:v>
      </x:c>
      <x:c r="E42" t="str">
        <x:v>Banka</x:v>
      </x:c>
      <x:c r="F42" s="22" t="n">
        <x:v>2200</x:v>
      </x:c>
      <x:c r="G42" s="22" t="str">
        <x:v>B005-G0039</x:v>
      </x:c>
      <x:c r="H42" s="22" t="n">
        <x:f>$F42*Sakinler!$E$4</x:f>
        <x:v>234.22053231939162</x:v>
      </x:c>
      <x:c r="I42" s="22" t="n">
        <x:f>$F42*Sakinler!$E$5</x:f>
        <x:v>188.21292775665398</x:v>
      </x:c>
      <x:c r="J42" s="22" t="n">
        <x:f>$F42*Sakinler!$E$6</x:f>
        <x:v>200.76045627376428</x:v>
      </x:c>
      <x:c r="K42" s="22" t="n">
        <x:f>$F42*Sakinler!$E$7</x:f>
        <x:v>200.76045627376428</x:v>
      </x:c>
      <x:c r="L42" s="22" t="n">
        <x:f>$F42*Sakinler!$E$8</x:f>
        <x:v>200.76045627376428</x:v>
      </x:c>
      <x:c r="M42" s="22" t="n">
        <x:f>$F42*Sakinler!$E$9</x:f>
        <x:v>142.20532319391634</x:v>
      </x:c>
      <x:c r="N42" s="22" t="n">
        <x:f>$F42*Sakinler!$E$10</x:f>
        <x:v>234.22053231939162</x:v>
      </x:c>
      <x:c r="O42" s="22" t="n">
        <x:f>$F42*Sakinler!$E$11</x:f>
        <x:v>219.58174904942967</x:v>
      </x:c>
      <x:c r="P42" s="22" t="n">
        <x:f>$F42*Sakinler!$E$12</x:f>
        <x:v>303.2319391634981</x:v>
      </x:c>
      <x:c r="Q42" s="22" t="n">
        <x:f>$F42*Sakinler!$E$13</x:f>
        <x:v>276.04562737642584</x:v>
      </x:c>
      <x:c r="R42" s="22" t="n">
        <x:f>SUM(H42:Q42)</x:f>
        <x:v>2200</x:v>
      </x:c>
    </x:row>
    <x:row r="43">
      <x:c r="A43" s="20" t="n">
        <x:v>46190</x:v>
      </x:c>
      <x:c r="B43" s="20" t="n">
        <x:v>46174</x:v>
      </x:c>
      <x:c r="C43" t="str">
        <x:v>Çatı Bakımı</x:v>
      </x:c>
      <x:c r="D43" t="str">
        <x:v>Çatı bakım ve lokal yalıtım</x:v>
      </x:c>
      <x:c r="E43" t="str">
        <x:v>Nakit</x:v>
      </x:c>
      <x:c r="F43" s="22" t="n">
        <x:v>17500</x:v>
      </x:c>
      <x:c r="G43" s="22" t="str">
        <x:v>B005-G0040</x:v>
      </x:c>
      <x:c r="H43" s="22" t="n">
        <x:f>$F43*Sakinler!$E$4</x:f>
        <x:v>1863.1178707224333</x:v>
      </x:c>
      <x:c r="I43" s="22" t="n">
        <x:f>$F43*Sakinler!$E$5</x:f>
        <x:v>1497.148288973384</x:v>
      </x:c>
      <x:c r="J43" s="22" t="n">
        <x:f>$F43*Sakinler!$E$6</x:f>
        <x:v>1596.958174904943</x:v>
      </x:c>
      <x:c r="K43" s="22" t="n">
        <x:f>$F43*Sakinler!$E$7</x:f>
        <x:v>1596.958174904943</x:v>
      </x:c>
      <x:c r="L43" s="22" t="n">
        <x:f>$F43*Sakinler!$E$8</x:f>
        <x:v>1596.958174904943</x:v>
      </x:c>
      <x:c r="M43" s="22" t="n">
        <x:f>$F43*Sakinler!$E$9</x:f>
        <x:v>1131.1787072243346</x:v>
      </x:c>
      <x:c r="N43" s="22" t="n">
        <x:f>$F43*Sakinler!$E$10</x:f>
        <x:v>1863.1178707224333</x:v>
      </x:c>
      <x:c r="O43" s="22" t="n">
        <x:f>$F43*Sakinler!$E$11</x:f>
        <x:v>1746.6730038022815</x:v>
      </x:c>
      <x:c r="P43" s="22" t="n">
        <x:f>$F43*Sakinler!$E$12</x:f>
        <x:v>2412.072243346008</x:v>
      </x:c>
      <x:c r="Q43" s="22" t="n">
        <x:f>$F43*Sakinler!$E$13</x:f>
        <x:v>2195.817490494296</x:v>
      </x:c>
      <x:c r="R43" s="22" t="n">
        <x:f>SUM(H43:Q43)</x:f>
        <x:v>17500</x:v>
      </x:c>
    </x:row>
    <x:row r="44">
      <x:c r="A44" s="20" t="n">
        <x:v>46194</x:v>
      </x:c>
      <x:c r="B44" s="20" t="n">
        <x:v>46174</x:v>
      </x:c>
      <x:c r="C44" t="str">
        <x:v>Temizlik</x:v>
      </x:c>
      <x:c r="D44" t="str">
        <x:v>Ortak alan temizliği</x:v>
      </x:c>
      <x:c r="E44" t="str">
        <x:v>Nakit</x:v>
      </x:c>
      <x:c r="F44" s="22" t="n">
        <x:v>3200</x:v>
      </x:c>
      <x:c r="G44" s="22" t="str">
        <x:v>B005-G0041</x:v>
      </x:c>
      <x:c r="H44" s="22" t="n">
        <x:f>$F44*Sakinler!$E$4</x:f>
        <x:v>340.6844106463878</x:v>
      </x:c>
      <x:c r="I44" s="22" t="n">
        <x:f>$F44*Sakinler!$E$5</x:f>
        <x:v>273.76425855513304</x:v>
      </x:c>
      <x:c r="J44" s="22" t="n">
        <x:f>$F44*Sakinler!$E$6</x:f>
        <x:v>292.0152091254753</x:v>
      </x:c>
      <x:c r="K44" s="22" t="n">
        <x:f>$F44*Sakinler!$E$7</x:f>
        <x:v>292.0152091254753</x:v>
      </x:c>
      <x:c r="L44" s="22" t="n">
        <x:f>$F44*Sakinler!$E$8</x:f>
        <x:v>292.0152091254753</x:v>
      </x:c>
      <x:c r="M44" s="22" t="n">
        <x:f>$F44*Sakinler!$E$9</x:f>
        <x:v>206.84410646387832</x:v>
      </x:c>
      <x:c r="N44" s="22" t="n">
        <x:f>$F44*Sakinler!$E$10</x:f>
        <x:v>340.6844106463878</x:v>
      </x:c>
      <x:c r="O44" s="22" t="n">
        <x:f>$F44*Sakinler!$E$11</x:f>
        <x:v>319.3916349809886</x:v>
      </x:c>
      <x:c r="P44" s="22" t="n">
        <x:f>$F44*Sakinler!$E$12</x:f>
        <x:v>441.06463878327</x:v>
      </x:c>
      <x:c r="Q44" s="22" t="n">
        <x:f>$F44*Sakinler!$E$13</x:f>
        <x:v>401.5209125475285</x:v>
      </x:c>
      <x:c r="R44" s="22" t="n">
        <x:f>SUM(H44:Q44)</x:f>
        <x:v>3200</x:v>
      </x:c>
    </x:row>
    <x:row r="45">
      <x:c r="A45" s="20" t="n">
        <x:v>46198</x:v>
      </x:c>
      <x:c r="B45" s="20" t="n">
        <x:v>46174</x:v>
      </x:c>
      <x:c r="C45" t="str">
        <x:v>Yönetim Hizmeti</x:v>
      </x:c>
      <x:c r="D45" t="str">
        <x:v>Yönetim hizmet bedeli</x:v>
      </x:c>
      <x:c r="E45" t="str">
        <x:v>Banka</x:v>
      </x:c>
      <x:c r="F45" s="22" t="n">
        <x:v>2500</x:v>
      </x:c>
      <x:c r="G45" s="22" t="str">
        <x:v>B005-G0042</x:v>
      </x:c>
      <x:c r="H45" s="22" t="n">
        <x:f>$F45*Sakinler!$E$4</x:f>
        <x:v>266.1596958174905</x:v>
      </x:c>
      <x:c r="I45" s="22" t="n">
        <x:f>$F45*Sakinler!$E$5</x:f>
        <x:v>213.8783269961977</x:v>
      </x:c>
      <x:c r="J45" s="22" t="n">
        <x:f>$F45*Sakinler!$E$6</x:f>
        <x:v>228.13688212927758</x:v>
      </x:c>
      <x:c r="K45" s="22" t="n">
        <x:f>$F45*Sakinler!$E$7</x:f>
        <x:v>228.13688212927758</x:v>
      </x:c>
      <x:c r="L45" s="22" t="n">
        <x:f>$F45*Sakinler!$E$8</x:f>
        <x:v>228.13688212927758</x:v>
      </x:c>
      <x:c r="M45" s="22" t="n">
        <x:f>$F45*Sakinler!$E$9</x:f>
        <x:v>161.59695817490493</x:v>
      </x:c>
      <x:c r="N45" s="22" t="n">
        <x:f>$F45*Sakinler!$E$10</x:f>
        <x:v>266.1596958174905</x:v>
      </x:c>
      <x:c r="O45" s="22" t="n">
        <x:f>$F45*Sakinler!$E$11</x:f>
        <x:v>249.52471482889734</x:v>
      </x:c>
      <x:c r="P45" s="22" t="n">
        <x:f>$F45*Sakinler!$E$12</x:f>
        <x:v>344.5817490494297</x:v>
      </x:c>
      <x:c r="Q45" s="22" t="n">
        <x:f>$F45*Sakinler!$E$13</x:f>
        <x:v>313.68821292775664</x:v>
      </x:c>
      <x:c r="R45" s="22" t="n">
        <x:f>SUM(H45:Q45)</x:f>
        <x:v>2500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3" t="str">
        <x:v>Deniz Apartmanı — Değişken Aidat Ekstresi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>
      <x:c r="A3" s="10" t="str">
        <x:v>Aidat Ayı</x:v>
      </x:c>
      <x:c r="B3" s="10" t="str">
        <x:v>Baz Gider Ayı</x:v>
      </x:c>
      <x:c r="C3" s="10" t="str">
        <x:v>Resident Kodu</x:v>
      </x:c>
      <x:c r="D3" s="10" t="str">
        <x:v>Daire</x:v>
      </x:c>
      <x:c r="E3" s="10" t="str">
        <x:v>Ad Soyad</x:v>
      </x:c>
      <x:c r="F3" s="10" t="str">
        <x:v>Ortak Alan Elektrik</x:v>
      </x:c>
      <x:c r="G3" s="10" t="str">
        <x:v>Ortak Alan Su</x:v>
      </x:c>
      <x:c r="H3" s="10" t="str">
        <x:v>Asansör Bakımı</x:v>
      </x:c>
      <x:c r="I3" s="10" t="str">
        <x:v>Jeneratör Bakımı</x:v>
      </x:c>
      <x:c r="J3" s="10" t="str">
        <x:v>Hidrofor Bakımı</x:v>
      </x:c>
      <x:c r="K3" s="10" t="str">
        <x:v>Yangın Sistemleri</x:v>
      </x:c>
      <x:c r="L3" s="10" t="str">
        <x:v>Temizlik</x:v>
      </x:c>
      <x:c r="M3" s="10" t="str">
        <x:v>Bahçe Bakımı</x:v>
      </x:c>
      <x:c r="N3" s="10" t="str">
        <x:v>Onarım</x:v>
      </x:c>
      <x:c r="O3" s="10" t="str">
        <x:v>Çatı Bakımı</x:v>
      </x:c>
      <x:c r="P3" s="10" t="str">
        <x:v>Yönetim Hizmeti</x:v>
      </x:c>
      <x:c r="Q3" s="10" t="str">
        <x:v>Toplam Aidat</x:v>
      </x:c>
      <x:c r="R3" s="10" t="str">
        <x:v>Ödenen</x:v>
      </x:c>
      <x:c r="S3" s="10" t="str">
        <x:v>Ödeme Tarihi</x:v>
      </x:c>
      <x:c r="T3" s="10" t="str">
        <x:v>Kalan Borç</x:v>
      </x:c>
      <x:c r="U3" s="10" t="str">
        <x:v>Durum</x:v>
      </x:c>
    </x:row>
    <x:row r="4">
      <x:c r="A4" s="24" t="n">
        <x:v>46023</x:v>
      </x:c>
      <x:c r="B4" s="24" t="n">
        <x:v>45992</x:v>
      </x:c>
      <x:c r="C4" t="str">
        <x:v>B005-R001</x:v>
      </x:c>
      <x:c r="D4" t="n">
        <x:v>1</x:v>
      </x:c>
      <x:c r="E4" t="str">
        <x:v>Pelin Aslan</x:v>
      </x:c>
      <x:c r="F4" s="22" t="n">
        <x:v>165.0190114068441</x:v>
      </x:c>
      <x:c r="G4" s="22" t="n">
        <x:v>87.30038022813687</x:v>
      </x:c>
      <x:c r="H4" s="22" t="n">
        <x:v>223.574144486692</x:v>
      </x:c>
      <x:c r="I4" s="22" t="n">
        <x:v>191.63498098859316</x:v>
      </x:c>
      <x:c r="J4" s="22" t="n">
        <x:v>0</x:v>
      </x:c>
      <x:c r="K4" s="22" t="n">
        <x:v>0</x:v>
      </x:c>
      <x:c r="L4" s="22" t="n">
        <x:v>298.0988593155893</x:v>
      </x:c>
      <x:c r="M4" s="22" t="n">
        <x:v>0</x:v>
      </x:c>
      <x:c r="N4" s="22" t="n">
        <x:v>0</x:v>
      </x:c>
      <x:c r="O4" s="22" t="n">
        <x:v>0</x:v>
      </x:c>
      <x:c r="P4" s="22" t="n">
        <x:v>266.1596958174905</x:v>
      </x:c>
      <x:c r="Q4" s="22" t="n">
        <x:v>1231.7870722433458</x:v>
      </x:c>
      <x:c r="R4" s="22" t="n">
        <x:v>1231.79</x:v>
      </x:c>
      <x:c r="S4" s="20" t="n">
        <x:v>46028</x:v>
      </x:c>
      <x:c r="T4" s="22" t="n">
        <x:v>0</x:v>
      </x:c>
      <x:c r="U4" t="str">
        <x:v>Ödendi</x:v>
      </x:c>
    </x:row>
    <x:row r="5">
      <x:c r="A5" s="24" t="n">
        <x:v>46054</x:v>
      </x:c>
      <x:c r="B5" s="24" t="n">
        <x:v>46023</x:v>
      </x:c>
      <x:c r="C5" t="str">
        <x:v>B005-R001</x:v>
      </x:c>
      <x:c r="D5" t="n">
        <x:v>1</x:v>
      </x:c>
      <x:c r="E5" t="str">
        <x:v>Pelin Aslan</x:v>
      </x:c>
      <x:c r="F5" s="22" t="n">
        <x:v>175.66539923954372</x:v>
      </x:c>
      <x:c r="G5" s="22" t="n">
        <x:v>90.49429657794677</x:v>
      </x:c>
      <x:c r="H5" s="22" t="n">
        <x:v>223.574144486692</x:v>
      </x:c>
      <x:c r="I5" s="22" t="n">
        <x:v>0</x:v>
      </x:c>
      <x:c r="J5" s="22" t="n">
        <x:v>340.6844106463878</x:v>
      </x:c>
      <x:c r="K5" s="22" t="n">
        <x:v>0</x:v>
      </x:c>
      <x:c r="L5" s="22" t="n">
        <x:v>298.0988593155893</x:v>
      </x:c>
      <x:c r="M5" s="22" t="n">
        <x:v>0</x:v>
      </x:c>
      <x:c r="N5" s="22" t="n">
        <x:v>0</x:v>
      </x:c>
      <x:c r="O5" s="22" t="n">
        <x:v>0</x:v>
      </x:c>
      <x:c r="P5" s="22" t="n">
        <x:v>266.1596958174905</x:v>
      </x:c>
      <x:c r="Q5" s="22" t="n">
        <x:v>1394.67680608365</x:v>
      </x:c>
      <x:c r="R5" s="22" t="n">
        <x:v>1394.68</x:v>
      </x:c>
      <x:c r="S5" s="20" t="n">
        <x:v>46064</x:v>
      </x:c>
      <x:c r="T5" s="22" t="n">
        <x:v>0</x:v>
      </x:c>
      <x:c r="U5" t="str">
        <x:v>Ödendi</x:v>
      </x:c>
    </x:row>
    <x:row r="6">
      <x:c r="A6" s="24" t="n">
        <x:v>46082</x:v>
      </x:c>
      <x:c r="B6" s="24" t="n">
        <x:v>46054</x:v>
      </x:c>
      <x:c r="C6" t="str">
        <x:v>B005-R001</x:v>
      </x:c>
      <x:c r="D6" t="n">
        <x:v>1</x:v>
      </x:c>
      <x:c r="E6" t="str">
        <x:v>Pelin Aslan</x:v>
      </x:c>
      <x:c r="F6" s="22" t="n">
        <x:v>183.11787072243345</x:v>
      </x:c>
      <x:c r="G6" s="22" t="n">
        <x:v>97.94676806083649</x:v>
      </x:c>
      <x:c r="H6" s="22" t="n">
        <x:v>223.574144486692</x:v>
      </x:c>
      <x:c r="I6" s="22" t="n">
        <x:v>255.51330798479086</x:v>
      </x:c>
      <x:c r="J6" s="22" t="n">
        <x:v>0</x:v>
      </x:c>
      <x:c r="K6" s="22" t="n">
        <x:v>447.148288973384</x:v>
      </x:c>
      <x:c r="L6" s="22" t="n">
        <x:v>0</x:v>
      </x:c>
      <x:c r="M6" s="22" t="n">
        <x:v>0</x:v>
      </x:c>
      <x:c r="N6" s="22" t="n">
        <x:v>0</x:v>
      </x:c>
      <x:c r="O6" s="22" t="n">
        <x:v>0</x:v>
      </x:c>
      <x:c r="P6" s="22" t="n">
        <x:v>266.1596958174905</x:v>
      </x:c>
      <x:c r="Q6" s="22" t="n">
        <x:v>1473.4600760456274</x:v>
      </x:c>
      <x:c r="R6" s="22" t="n">
        <x:v>1473.46</x:v>
      </x:c>
      <x:c r="S6" s="20" t="n">
        <x:v>46090</x:v>
      </x:c>
      <x:c r="T6" s="22" t="n">
        <x:v>0</x:v>
      </x:c>
      <x:c r="U6" t="str">
        <x:v>Ödendi</x:v>
      </x:c>
    </x:row>
    <x:row r="7">
      <x:c r="A7" s="24" t="n">
        <x:v>46113</x:v>
      </x:c>
      <x:c r="B7" s="24" t="n">
        <x:v>46082</x:v>
      </x:c>
      <x:c r="C7" t="str">
        <x:v>B005-R001</x:v>
      </x:c>
      <x:c r="D7" t="n">
        <x:v>1</x:v>
      </x:c>
      <x:c r="E7" t="str">
        <x:v>Pelin Aslan</x:v>
      </x:c>
      <x:c r="F7" s="22" t="n">
        <x:v>168.21292775665398</x:v>
      </x:c>
      <x:c r="G7" s="22" t="n">
        <x:v>94.75285171102661</x:v>
      </x:c>
      <x:c r="H7" s="22" t="n">
        <x:v>223.574144486692</x:v>
      </x:c>
      <x:c r="I7" s="22" t="n">
        <x:v>0</x:v>
      </x:c>
      <x:c r="J7" s="22" t="n">
        <x:v>0</x:v>
      </x:c>
      <x:c r="K7" s="22" t="n">
        <x:v>0</x:v>
      </x:c>
      <x:c r="L7" s="22" t="n">
        <x:v>319.39163498098856</x:v>
      </x:c>
      <x:c r="M7" s="22" t="n">
        <x:v>0</x:v>
      </x:c>
      <x:c r="N7" s="22" t="n">
        <x:v>404.56273764258555</x:v>
      </x:c>
      <x:c r="O7" s="22" t="n">
        <x:v>0</x:v>
      </x:c>
      <x:c r="P7" s="22" t="n">
        <x:v>266.1596958174905</x:v>
      </x:c>
      <x:c r="Q7" s="22" t="n">
        <x:v>1476.6539923954372</x:v>
      </x:c>
      <x:c r="R7" s="22" t="n">
        <x:v>1476.65</x:v>
      </x:c>
      <x:c r="S7" s="20" t="n">
        <x:v>46120</x:v>
      </x:c>
      <x:c r="T7" s="22" t="n">
        <x:v>0</x:v>
      </x:c>
      <x:c r="U7" t="str">
        <x:v>Ödendi</x:v>
      </x:c>
    </x:row>
    <x:row r="8">
      <x:c r="A8" s="24" t="n">
        <x:v>46143</x:v>
      </x:c>
      <x:c r="B8" s="24" t="n">
        <x:v>46113</x:v>
      </x:c>
      <x:c r="C8" t="str">
        <x:v>B005-R001</x:v>
      </x:c>
      <x:c r="D8" t="n">
        <x:v>1</x:v>
      </x:c>
      <x:c r="E8" t="str">
        <x:v>Pelin Aslan</x:v>
      </x:c>
      <x:c r="F8" s="22" t="n">
        <x:v>179.92395437262357</x:v>
      </x:c>
      <x:c r="G8" s="22" t="n">
        <x:v>96.88212927756653</x:v>
      </x:c>
      <x:c r="H8" s="22" t="n">
        <x:v>234.22053231939162</x:v>
      </x:c>
      <x:c r="I8" s="22" t="n">
        <x:v>0</x:v>
      </x:c>
      <x:c r="J8" s="22" t="n">
        <x:v>660.0760456273764</x:v>
      </x:c>
      <x:c r="K8" s="22" t="n">
        <x:v>0</x:v>
      </x:c>
      <x:c r="L8" s="22" t="n">
        <x:v>0</x:v>
      </x:c>
      <x:c r="M8" s="22" t="n">
        <x:v>276.8060836501901</x:v>
      </x:c>
      <x:c r="N8" s="22" t="n">
        <x:v>0</x:v>
      </x:c>
      <x:c r="O8" s="22" t="n">
        <x:v>0</x:v>
      </x:c>
      <x:c r="P8" s="22" t="n">
        <x:v>266.1596958174905</x:v>
      </x:c>
      <x:c r="Q8" s="22" t="n">
        <x:v>1714.0684410646388</x:v>
      </x:c>
      <x:c r="R8" s="22" t="n">
        <x:v>857.03</x:v>
      </x:c>
      <x:c r="S8" s="20" t="n">
        <x:v>46157</x:v>
      </x:c>
      <x:c r="T8" s="22" t="n">
        <x:v>857.04</x:v>
      </x:c>
      <x:c r="U8" t="str">
        <x:v>Kısmi Ödeme</x:v>
      </x:c>
    </x:row>
    <x:row r="9">
      <x:c r="A9" s="24" t="n">
        <x:v>46174</x:v>
      </x:c>
      <x:c r="B9" s="24" t="n">
        <x:v>46143</x:v>
      </x:c>
      <x:c r="C9" t="str">
        <x:v>B005-R001</x:v>
      </x:c>
      <x:c r="D9" t="n">
        <x:v>1</x:v>
      </x:c>
      <x:c r="E9" t="str">
        <x:v>Pelin Aslan</x:v>
      </x:c>
      <x:c r="F9" s="22" t="n">
        <x:v>192.6996197718631</x:v>
      </x:c>
      <x:c r="G9" s="22" t="n">
        <x:v>104.33460076045627</x:v>
      </x:c>
      <x:c r="H9" s="22" t="n">
        <x:v>234.22053231939162</x:v>
      </x:c>
      <x:c r="I9" s="22" t="n">
        <x:v>383.2699619771863</x:v>
      </x:c>
      <x:c r="J9" s="22" t="n">
        <x:v>0</x:v>
      </x:c>
      <x:c r="K9" s="22" t="n">
        <x:v>0</x:v>
      </x:c>
      <x:c r="L9" s="22" t="n">
        <x:v>319.39163498098856</x:v>
      </x:c>
      <x:c r="M9" s="22" t="n">
        <x:v>0</x:v>
      </x:c>
      <x:c r="N9" s="22" t="n">
        <x:v>0</x:v>
      </x:c>
      <x:c r="O9" s="22" t="n">
        <x:v>0</x:v>
      </x:c>
      <x:c r="P9" s="22" t="n">
        <x:v>266.1596958174905</x:v>
      </x:c>
      <x:c r="Q9" s="22" t="n">
        <x:v>1500.0760456273763</x:v>
      </x:c>
      <x:c r="R9" s="22" t="n">
        <x:v>1500.08</x:v>
      </x:c>
      <x:c r="S9" s="20" t="n">
        <x:v>46177</x:v>
      </x:c>
      <x:c r="T9" s="22" t="n">
        <x:v>0</x:v>
      </x:c>
      <x:c r="U9" t="str">
        <x:v>Ödendi</x:v>
      </x:c>
    </x:row>
    <x:row r="10">
      <x:c r="A10" s="24" t="n">
        <x:v>46204</x:v>
      </x:c>
      <x:c r="B10" s="24" t="n">
        <x:v>46174</x:v>
      </x:c>
      <x:c r="C10" t="str">
        <x:v>B005-R001</x:v>
      </x:c>
      <x:c r="D10" t="n">
        <x:v>1</x:v>
      </x:c>
      <x:c r="E10" t="str">
        <x:v>Pelin Aslan</x:v>
      </x:c>
      <x:c r="F10" s="22" t="n">
        <x:v>206.53992395437263</x:v>
      </x:c>
      <x:c r="G10" s="22" t="n">
        <x:v>108.59315589353612</x:v>
      </x:c>
      <x:c r="H10" s="22" t="n">
        <x:v>234.22053231939162</x:v>
      </x:c>
      <x:c r="I10" s="22" t="n">
        <x:v>0</x:v>
      </x:c>
      <x:c r="J10" s="22" t="n">
        <x:v>0</x:v>
      </x:c>
      <x:c r="K10" s="22" t="n">
        <x:v>0</x:v>
      </x:c>
      <x:c r="L10" s="22" t="n">
        <x:v>340.6844106463878</x:v>
      </x:c>
      <x:c r="M10" s="22" t="n">
        <x:v>0</x:v>
      </x:c>
      <x:c r="N10" s="22" t="n">
        <x:v>0</x:v>
      </x:c>
      <x:c r="O10" s="22" t="n">
        <x:v>1863.1178707224333</x:v>
      </x:c>
      <x:c r="P10" s="22" t="n">
        <x:v>266.1596958174905</x:v>
      </x:c>
      <x:c r="Q10" s="22" t="n">
        <x:v>3019.315589353612</x:v>
      </x:c>
      <x:c r="R10" s="22" t="n">
        <x:v>3019.32</x:v>
      </x:c>
      <x:c r="S10" s="20" t="n">
        <x:v>46209</x:v>
      </x:c>
      <x:c r="T10" s="22" t="n">
        <x:v>0</x:v>
      </x:c>
      <x:c r="U10" t="str">
        <x:v>Ödendi</x:v>
      </x:c>
    </x:row>
    <x:row r="11">
      <x:c r="A11" s="24" t="n">
        <x:v>46023</x:v>
      </x:c>
      <x:c r="B11" s="24" t="n">
        <x:v>45992</x:v>
      </x:c>
      <x:c r="C11" t="str">
        <x:v>B005-R002</x:v>
      </x:c>
      <x:c r="D11" t="n">
        <x:v>2</x:v>
      </x:c>
      <x:c r="E11" t="str">
        <x:v>Emre Aslan</x:v>
      </x:c>
      <x:c r="F11" s="22" t="n">
        <x:v>132.60456273764257</x:v>
      </x:c>
      <x:c r="G11" s="22" t="n">
        <x:v>70.15209125475285</x:v>
      </x:c>
      <x:c r="H11" s="22" t="n">
        <x:v>179.65779467680608</x:v>
      </x:c>
      <x:c r="I11" s="22" t="n">
        <x:v>153.99239543726236</x:v>
      </x:c>
      <x:c r="J11" s="22" t="n">
        <x:v>0</x:v>
      </x:c>
      <x:c r="K11" s="22" t="n">
        <x:v>0</x:v>
      </x:c>
      <x:c r="L11" s="22" t="n">
        <x:v>239.54372623574145</x:v>
      </x:c>
      <x:c r="M11" s="22" t="n">
        <x:v>0</x:v>
      </x:c>
      <x:c r="N11" s="22" t="n">
        <x:v>0</x:v>
      </x:c>
      <x:c r="O11" s="22" t="n">
        <x:v>0</x:v>
      </x:c>
      <x:c r="P11" s="22" t="n">
        <x:v>213.8783269961977</x:v>
      </x:c>
      <x:c r="Q11" s="22" t="n">
        <x:v>989.828897338403</x:v>
      </x:c>
      <x:c r="R11" s="22" t="n">
        <x:v>989.83</x:v>
      </x:c>
      <x:c r="S11" s="20" t="n">
        <x:v>46026</x:v>
      </x:c>
      <x:c r="T11" s="22" t="n">
        <x:v>0</x:v>
      </x:c>
      <x:c r="U11" t="str">
        <x:v>Ödendi</x:v>
      </x:c>
    </x:row>
    <x:row r="12">
      <x:c r="A12" s="24" t="n">
        <x:v>46054</x:v>
      </x:c>
      <x:c r="B12" s="24" t="n">
        <x:v>46023</x:v>
      </x:c>
      <x:c r="C12" t="str">
        <x:v>B005-R002</x:v>
      </x:c>
      <x:c r="D12" t="n">
        <x:v>2</x:v>
      </x:c>
      <x:c r="E12" t="str">
        <x:v>Emre Aslan</x:v>
      </x:c>
      <x:c r="F12" s="22" t="n">
        <x:v>141.1596958174905</x:v>
      </x:c>
      <x:c r="G12" s="22" t="n">
        <x:v>72.71863117870723</x:v>
      </x:c>
      <x:c r="H12" s="22" t="n">
        <x:v>179.65779467680608</x:v>
      </x:c>
      <x:c r="I12" s="22" t="n">
        <x:v>0</x:v>
      </x:c>
      <x:c r="J12" s="22" t="n">
        <x:v>273.76425855513304</x:v>
      </x:c>
      <x:c r="K12" s="22" t="n">
        <x:v>0</x:v>
      </x:c>
      <x:c r="L12" s="22" t="n">
        <x:v>239.54372623574145</x:v>
      </x:c>
      <x:c r="M12" s="22" t="n">
        <x:v>0</x:v>
      </x:c>
      <x:c r="N12" s="22" t="n">
        <x:v>0</x:v>
      </x:c>
      <x:c r="O12" s="22" t="n">
        <x:v>0</x:v>
      </x:c>
      <x:c r="P12" s="22" t="n">
        <x:v>213.8783269961977</x:v>
      </x:c>
      <x:c r="Q12" s="22" t="n">
        <x:v>1120.722433460076</x:v>
      </x:c>
      <x:c r="R12" s="22" t="n">
        <x:v>1120.72</x:v>
      </x:c>
      <x:c r="S12" s="20" t="n">
        <x:v>46063</x:v>
      </x:c>
      <x:c r="T12" s="22" t="n">
        <x:v>0</x:v>
      </x:c>
      <x:c r="U12" t="str">
        <x:v>Ödendi</x:v>
      </x:c>
    </x:row>
    <x:row r="13">
      <x:c r="A13" s="24" t="n">
        <x:v>46082</x:v>
      </x:c>
      <x:c r="B13" s="24" t="n">
        <x:v>46054</x:v>
      </x:c>
      <x:c r="C13" t="str">
        <x:v>B005-R002</x:v>
      </x:c>
      <x:c r="D13" t="n">
        <x:v>2</x:v>
      </x:c>
      <x:c r="E13" t="str">
        <x:v>Emre Aslan</x:v>
      </x:c>
      <x:c r="F13" s="22" t="n">
        <x:v>147.148288973384</x:v>
      </x:c>
      <x:c r="G13" s="22" t="n">
        <x:v>78.70722433460075</x:v>
      </x:c>
      <x:c r="H13" s="22" t="n">
        <x:v>179.65779467680608</x:v>
      </x:c>
      <x:c r="I13" s="22" t="n">
        <x:v>205.3231939163498</x:v>
      </x:c>
      <x:c r="J13" s="22" t="n">
        <x:v>0</x:v>
      </x:c>
      <x:c r="K13" s="22" t="n">
        <x:v>359.31558935361215</x:v>
      </x:c>
      <x:c r="L13" s="22" t="n">
        <x:v>0</x:v>
      </x:c>
      <x:c r="M13" s="22" t="n">
        <x:v>0</x:v>
      </x:c>
      <x:c r="N13" s="22" t="n">
        <x:v>0</x:v>
      </x:c>
      <x:c r="O13" s="22" t="n">
        <x:v>0</x:v>
      </x:c>
      <x:c r="P13" s="22" t="n">
        <x:v>213.8783269961977</x:v>
      </x:c>
      <x:c r="Q13" s="22" t="n">
        <x:v>1184.0304182509506</x:v>
      </x:c>
      <x:c r="R13" s="22" t="n">
        <x:v>1184.03</x:v>
      </x:c>
      <x:c r="S13" s="20" t="n">
        <x:v>46087</x:v>
      </x:c>
      <x:c r="T13" s="22" t="n">
        <x:v>0</x:v>
      </x:c>
      <x:c r="U13" t="str">
        <x:v>Ödendi</x:v>
      </x:c>
    </x:row>
    <x:row r="14">
      <x:c r="A14" s="24" t="n">
        <x:v>46113</x:v>
      </x:c>
      <x:c r="B14" s="24" t="n">
        <x:v>46082</x:v>
      </x:c>
      <x:c r="C14" t="str">
        <x:v>B005-R002</x:v>
      </x:c>
      <x:c r="D14" t="n">
        <x:v>2</x:v>
      </x:c>
      <x:c r="E14" t="str">
        <x:v>Emre Aslan</x:v>
      </x:c>
      <x:c r="F14" s="22" t="n">
        <x:v>135.17110266159696</x:v>
      </x:c>
      <x:c r="G14" s="22" t="n">
        <x:v>76.14068441064639</x:v>
      </x:c>
      <x:c r="H14" s="22" t="n">
        <x:v>179.65779467680608</x:v>
      </x:c>
      <x:c r="I14" s="22" t="n">
        <x:v>0</x:v>
      </x:c>
      <x:c r="J14" s="22" t="n">
        <x:v>0</x:v>
      </x:c>
      <x:c r="K14" s="22" t="n">
        <x:v>0</x:v>
      </x:c>
      <x:c r="L14" s="22" t="n">
        <x:v>256.65399239543723</x:v>
      </x:c>
      <x:c r="M14" s="22" t="n">
        <x:v>0</x:v>
      </x:c>
      <x:c r="N14" s="22" t="n">
        <x:v>325.09505703422053</x:v>
      </x:c>
      <x:c r="O14" s="22" t="n">
        <x:v>0</x:v>
      </x:c>
      <x:c r="P14" s="22" t="n">
        <x:v>213.8783269961977</x:v>
      </x:c>
      <x:c r="Q14" s="22" t="n">
        <x:v>1186.5969581749048</x:v>
      </x:c>
      <x:c r="R14" s="22" t="n">
        <x:v>1186.6</x:v>
      </x:c>
      <x:c r="S14" s="20" t="n">
        <x:v>46125</x:v>
      </x:c>
      <x:c r="T14" s="22" t="n">
        <x:v>0</x:v>
      </x:c>
      <x:c r="U14" t="str">
        <x:v>Ödendi</x:v>
      </x:c>
    </x:row>
    <x:row r="15">
      <x:c r="A15" s="24" t="n">
        <x:v>46143</x:v>
      </x:c>
      <x:c r="B15" s="24" t="n">
        <x:v>46113</x:v>
      </x:c>
      <x:c r="C15" t="str">
        <x:v>B005-R002</x:v>
      </x:c>
      <x:c r="D15" t="n">
        <x:v>2</x:v>
      </x:c>
      <x:c r="E15" t="str">
        <x:v>Emre Aslan</x:v>
      </x:c>
      <x:c r="F15" s="22" t="n">
        <x:v>144.58174904942965</x:v>
      </x:c>
      <x:c r="G15" s="22" t="n">
        <x:v>77.85171102661596</x:v>
      </x:c>
      <x:c r="H15" s="22" t="n">
        <x:v>188.21292775665398</x:v>
      </x:c>
      <x:c r="I15" s="22" t="n">
        <x:v>0</x:v>
      </x:c>
      <x:c r="J15" s="22" t="n">
        <x:v>530.4182509505703</x:v>
      </x:c>
      <x:c r="K15" s="22" t="n">
        <x:v>0</x:v>
      </x:c>
      <x:c r="L15" s="22" t="n">
        <x:v>0</x:v>
      </x:c>
      <x:c r="M15" s="22" t="n">
        <x:v>222.4334600760456</x:v>
      </x:c>
      <x:c r="N15" s="22" t="n">
        <x:v>0</x:v>
      </x:c>
      <x:c r="O15" s="22" t="n">
        <x:v>0</x:v>
      </x:c>
      <x:c r="P15" s="22" t="n">
        <x:v>213.8783269961977</x:v>
      </x:c>
      <x:c r="Q15" s="22" t="n">
        <x:v>1377.3764258555132</x:v>
      </x:c>
      <x:c r="R15" s="22" t="n">
        <x:v>1377.38</x:v>
      </x:c>
      <x:c r="S15" s="20" t="n">
        <x:v>46152</x:v>
      </x:c>
      <x:c r="T15" s="22" t="n">
        <x:v>0</x:v>
      </x:c>
      <x:c r="U15" t="str">
        <x:v>Ödendi</x:v>
      </x:c>
    </x:row>
    <x:row r="16">
      <x:c r="A16" s="24" t="n">
        <x:v>46174</x:v>
      </x:c>
      <x:c r="B16" s="24" t="n">
        <x:v>46143</x:v>
      </x:c>
      <x:c r="C16" t="str">
        <x:v>B005-R002</x:v>
      </x:c>
      <x:c r="D16" t="n">
        <x:v>2</x:v>
      </x:c>
      <x:c r="E16" t="str">
        <x:v>Emre Aslan</x:v>
      </x:c>
      <x:c r="F16" s="22" t="n">
        <x:v>154.84790874524714</x:v>
      </x:c>
      <x:c r="G16" s="22" t="n">
        <x:v>83.8403041825095</x:v>
      </x:c>
      <x:c r="H16" s="22" t="n">
        <x:v>188.21292775665398</x:v>
      </x:c>
      <x:c r="I16" s="22" t="n">
        <x:v>307.9847908745247</x:v>
      </x:c>
      <x:c r="J16" s="22" t="n">
        <x:v>0</x:v>
      </x:c>
      <x:c r="K16" s="22" t="n">
        <x:v>0</x:v>
      </x:c>
      <x:c r="L16" s="22" t="n">
        <x:v>256.65399239543723</x:v>
      </x:c>
      <x:c r="M16" s="22" t="n">
        <x:v>0</x:v>
      </x:c>
      <x:c r="N16" s="22" t="n">
        <x:v>0</x:v>
      </x:c>
      <x:c r="O16" s="22" t="n">
        <x:v>0</x:v>
      </x:c>
      <x:c r="P16" s="22" t="n">
        <x:v>213.8783269961977</x:v>
      </x:c>
      <x:c r="Q16" s="22" t="n">
        <x:v>1205.4182509505704</x:v>
      </x:c>
      <x:c r="R16" s="22" t="n">
        <x:v>1205.42</x:v>
      </x:c>
      <x:c r="S16" s="20" t="n">
        <x:v>46181</x:v>
      </x:c>
      <x:c r="T16" s="22" t="n">
        <x:v>0</x:v>
      </x:c>
      <x:c r="U16" t="str">
        <x:v>Ödendi</x:v>
      </x:c>
    </x:row>
    <x:row r="17">
      <x:c r="A17" s="24" t="n">
        <x:v>46204</x:v>
      </x:c>
      <x:c r="B17" s="24" t="n">
        <x:v>46174</x:v>
      </x:c>
      <x:c r="C17" t="str">
        <x:v>B005-R002</x:v>
      </x:c>
      <x:c r="D17" t="n">
        <x:v>2</x:v>
      </x:c>
      <x:c r="E17" t="str">
        <x:v>Emre Aslan</x:v>
      </x:c>
      <x:c r="F17" s="22" t="n">
        <x:v>165.9695817490494</x:v>
      </x:c>
      <x:c r="G17" s="22" t="n">
        <x:v>87.26235741444866</x:v>
      </x:c>
      <x:c r="H17" s="22" t="n">
        <x:v>188.21292775665398</x:v>
      </x:c>
      <x:c r="I17" s="22" t="n">
        <x:v>0</x:v>
      </x:c>
      <x:c r="J17" s="22" t="n">
        <x:v>0</x:v>
      </x:c>
      <x:c r="K17" s="22" t="n">
        <x:v>0</x:v>
      </x:c>
      <x:c r="L17" s="22" t="n">
        <x:v>273.76425855513304</x:v>
      </x:c>
      <x:c r="M17" s="22" t="n">
        <x:v>0</x:v>
      </x:c>
      <x:c r="N17" s="22" t="n">
        <x:v>0</x:v>
      </x:c>
      <x:c r="O17" s="22" t="n">
        <x:v>1497.148288973384</x:v>
      </x:c>
      <x:c r="P17" s="22" t="n">
        <x:v>213.8783269961977</x:v>
      </x:c>
      <x:c r="Q17" s="22" t="n">
        <x:v>2426.235741444867</x:v>
      </x:c>
      <x:c r="R17" s="22" t="n">
        <x:v>2426.24</x:v>
      </x:c>
      <x:c r="S17" s="20" t="n">
        <x:v>46214</x:v>
      </x:c>
      <x:c r="T17" s="22" t="n">
        <x:v>0</x:v>
      </x:c>
      <x:c r="U17" t="str">
        <x:v>Ödendi</x:v>
      </x:c>
    </x:row>
    <x:row r="18">
      <x:c r="A18" s="24" t="n">
        <x:v>46023</x:v>
      </x:c>
      <x:c r="B18" s="24" t="n">
        <x:v>45992</x:v>
      </x:c>
      <x:c r="C18" t="str">
        <x:v>B005-R003</x:v>
      </x:c>
      <x:c r="D18" t="n">
        <x:v>3</x:v>
      </x:c>
      <x:c r="E18" t="str">
        <x:v>Cem Kaya</x:v>
      </x:c>
      <x:c r="F18" s="22" t="n">
        <x:v>141.4448669201521</x:v>
      </x:c>
      <x:c r="G18" s="22" t="n">
        <x:v>74.82889733840304</x:v>
      </x:c>
      <x:c r="H18" s="22" t="n">
        <x:v>191.63498098859316</x:v>
      </x:c>
      <x:c r="I18" s="22" t="n">
        <x:v>164.25855513307985</x:v>
      </x:c>
      <x:c r="J18" s="22" t="n">
        <x:v>0</x:v>
      </x:c>
      <x:c r="K18" s="22" t="n">
        <x:v>0</x:v>
      </x:c>
      <x:c r="L18" s="22" t="n">
        <x:v>255.51330798479088</x:v>
      </x:c>
      <x:c r="M18" s="22" t="n">
        <x:v>0</x:v>
      </x:c>
      <x:c r="N18" s="22" t="n">
        <x:v>0</x:v>
      </x:c>
      <x:c r="O18" s="22" t="n">
        <x:v>0</x:v>
      </x:c>
      <x:c r="P18" s="22" t="n">
        <x:v>228.13688212927758</x:v>
      </x:c>
      <x:c r="Q18" s="22" t="n">
        <x:v>1055.8174904942966</x:v>
      </x:c>
      <x:c r="R18" s="22" t="n">
        <x:v>1055.82</x:v>
      </x:c>
      <x:c r="S18" s="20" t="n">
        <x:v>46033</x:v>
      </x:c>
      <x:c r="T18" s="22" t="n">
        <x:v>0</x:v>
      </x:c>
      <x:c r="U18" t="str">
        <x:v>Ödendi</x:v>
      </x:c>
    </x:row>
    <x:row r="19">
      <x:c r="A19" s="24" t="n">
        <x:v>46054</x:v>
      </x:c>
      <x:c r="B19" s="24" t="n">
        <x:v>46023</x:v>
      </x:c>
      <x:c r="C19" t="str">
        <x:v>B005-R003</x:v>
      </x:c>
      <x:c r="D19" t="n">
        <x:v>3</x:v>
      </x:c>
      <x:c r="E19" t="str">
        <x:v>Cem Kaya</x:v>
      </x:c>
      <x:c r="F19" s="22" t="n">
        <x:v>150.5703422053232</x:v>
      </x:c>
      <x:c r="G19" s="22" t="n">
        <x:v>77.56653992395438</x:v>
      </x:c>
      <x:c r="H19" s="22" t="n">
        <x:v>191.63498098859316</x:v>
      </x:c>
      <x:c r="I19" s="22" t="n">
        <x:v>0</x:v>
      </x:c>
      <x:c r="J19" s="22" t="n">
        <x:v>292.0152091254753</x:v>
      </x:c>
      <x:c r="K19" s="22" t="n">
        <x:v>0</x:v>
      </x:c>
      <x:c r="L19" s="22" t="n">
        <x:v>255.51330798479088</x:v>
      </x:c>
      <x:c r="M19" s="22" t="n">
        <x:v>0</x:v>
      </x:c>
      <x:c r="N19" s="22" t="n">
        <x:v>0</x:v>
      </x:c>
      <x:c r="O19" s="22" t="n">
        <x:v>0</x:v>
      </x:c>
      <x:c r="P19" s="22" t="n">
        <x:v>228.13688212927758</x:v>
      </x:c>
      <x:c r="Q19" s="22" t="n">
        <x:v>1195.4372623574145</x:v>
      </x:c>
      <x:c r="R19" s="22" t="n">
        <x:v>1195.44</x:v>
      </x:c>
      <x:c r="S19" s="20" t="n">
        <x:v>46057</x:v>
      </x:c>
      <x:c r="T19" s="22" t="n">
        <x:v>0</x:v>
      </x:c>
      <x:c r="U19" t="str">
        <x:v>Ödendi</x:v>
      </x:c>
    </x:row>
    <x:row r="20">
      <x:c r="A20" s="24" t="n">
        <x:v>46082</x:v>
      </x:c>
      <x:c r="B20" s="24" t="n">
        <x:v>46054</x:v>
      </x:c>
      <x:c r="C20" t="str">
        <x:v>B005-R003</x:v>
      </x:c>
      <x:c r="D20" t="n">
        <x:v>3</x:v>
      </x:c>
      <x:c r="E20" t="str">
        <x:v>Cem Kaya</x:v>
      </x:c>
      <x:c r="F20" s="22" t="n">
        <x:v>156.95817490494298</x:v>
      </x:c>
      <x:c r="G20" s="22" t="n">
        <x:v>83.95437262357414</x:v>
      </x:c>
      <x:c r="H20" s="22" t="n">
        <x:v>191.63498098859316</x:v>
      </x:c>
      <x:c r="I20" s="22" t="n">
        <x:v>219.01140684410646</x:v>
      </x:c>
      <x:c r="J20" s="22" t="n">
        <x:v>0</x:v>
      </x:c>
      <x:c r="K20" s="22" t="n">
        <x:v>383.2699619771863</x:v>
      </x:c>
      <x:c r="L20" s="22" t="n">
        <x:v>0</x:v>
      </x:c>
      <x:c r="M20" s="22" t="n">
        <x:v>0</x:v>
      </x:c>
      <x:c r="N20" s="22" t="n">
        <x:v>0</x:v>
      </x:c>
      <x:c r="O20" s="22" t="n">
        <x:v>0</x:v>
      </x:c>
      <x:c r="P20" s="22" t="n">
        <x:v>228.13688212927758</x:v>
      </x:c>
      <x:c r="Q20" s="22" t="n">
        <x:v>1262.9657794676807</x:v>
      </x:c>
      <x:c r="R20" s="22" t="n">
        <x:v>1262.97</x:v>
      </x:c>
      <x:c r="S20" s="20" t="n">
        <x:v>46085</x:v>
      </x:c>
      <x:c r="T20" s="22" t="n">
        <x:v>0</x:v>
      </x:c>
      <x:c r="U20" t="str">
        <x:v>Ödendi</x:v>
      </x:c>
    </x:row>
    <x:row r="21">
      <x:c r="A21" s="24" t="n">
        <x:v>46113</x:v>
      </x:c>
      <x:c r="B21" s="24" t="n">
        <x:v>46082</x:v>
      </x:c>
      <x:c r="C21" t="str">
        <x:v>B005-R003</x:v>
      </x:c>
      <x:c r="D21" t="n">
        <x:v>3</x:v>
      </x:c>
      <x:c r="E21" t="str">
        <x:v>Cem Kaya</x:v>
      </x:c>
      <x:c r="F21" s="22" t="n">
        <x:v>144.18250950570342</x:v>
      </x:c>
      <x:c r="G21" s="22" t="n">
        <x:v>81.21673003802282</x:v>
      </x:c>
      <x:c r="H21" s="22" t="n">
        <x:v>191.63498098859316</x:v>
      </x:c>
      <x:c r="I21" s="22" t="n">
        <x:v>0</x:v>
      </x:c>
      <x:c r="J21" s="22" t="n">
        <x:v>0</x:v>
      </x:c>
      <x:c r="K21" s="22" t="n">
        <x:v>0</x:v>
      </x:c>
      <x:c r="L21" s="22" t="n">
        <x:v>273.7642585551331</x:v>
      </x:c>
      <x:c r="M21" s="22" t="n">
        <x:v>0</x:v>
      </x:c>
      <x:c r="N21" s="22" t="n">
        <x:v>346.7680608365019</x:v>
      </x:c>
      <x:c r="O21" s="22" t="n">
        <x:v>0</x:v>
      </x:c>
      <x:c r="P21" s="22" t="n">
        <x:v>228.13688212927758</x:v>
      </x:c>
      <x:c r="Q21" s="22" t="n">
        <x:v>1265.7034220532319</x:v>
      </x:c>
      <x:c r="R21" s="22" t="n">
        <x:v>1265.7</x:v>
      </x:c>
      <x:c r="S21" s="20" t="n">
        <x:v>46124</x:v>
      </x:c>
      <x:c r="T21" s="22" t="n">
        <x:v>0</x:v>
      </x:c>
      <x:c r="U21" t="str">
        <x:v>Ödendi</x:v>
      </x:c>
    </x:row>
    <x:row r="22">
      <x:c r="A22" s="24" t="n">
        <x:v>46143</x:v>
      </x:c>
      <x:c r="B22" s="24" t="n">
        <x:v>46113</x:v>
      </x:c>
      <x:c r="C22" t="str">
        <x:v>B005-R003</x:v>
      </x:c>
      <x:c r="D22" t="n">
        <x:v>3</x:v>
      </x:c>
      <x:c r="E22" t="str">
        <x:v>Cem Kaya</x:v>
      </x:c>
      <x:c r="F22" s="22" t="n">
        <x:v>154.22053231939165</x:v>
      </x:c>
      <x:c r="G22" s="22" t="n">
        <x:v>83.04182509505704</x:v>
      </x:c>
      <x:c r="H22" s="22" t="n">
        <x:v>200.76045627376428</x:v>
      </x:c>
      <x:c r="I22" s="22" t="n">
        <x:v>0</x:v>
      </x:c>
      <x:c r="J22" s="22" t="n">
        <x:v>565.7794676806084</x:v>
      </x:c>
      <x:c r="K22" s="22" t="n">
        <x:v>0</x:v>
      </x:c>
      <x:c r="L22" s="22" t="n">
        <x:v>0</x:v>
      </x:c>
      <x:c r="M22" s="22" t="n">
        <x:v>237.26235741444867</x:v>
      </x:c>
      <x:c r="N22" s="22" t="n">
        <x:v>0</x:v>
      </x:c>
      <x:c r="O22" s="22" t="n">
        <x:v>0</x:v>
      </x:c>
      <x:c r="P22" s="22" t="n">
        <x:v>228.13688212927758</x:v>
      </x:c>
      <x:c r="Q22" s="22" t="n">
        <x:v>1469.2015209125475</x:v>
      </x:c>
      <x:c r="R22" s="22" t="n">
        <x:v>1469.2</x:v>
      </x:c>
      <x:c r="S22" s="20" t="n">
        <x:v>46149</x:v>
      </x:c>
      <x:c r="T22" s="22" t="n">
        <x:v>0</x:v>
      </x:c>
      <x:c r="U22" t="str">
        <x:v>Ödendi</x:v>
      </x:c>
    </x:row>
    <x:row r="23">
      <x:c r="A23" s="24" t="n">
        <x:v>46174</x:v>
      </x:c>
      <x:c r="B23" s="24" t="n">
        <x:v>46143</x:v>
      </x:c>
      <x:c r="C23" t="str">
        <x:v>B005-R003</x:v>
      </x:c>
      <x:c r="D23" t="n">
        <x:v>3</x:v>
      </x:c>
      <x:c r="E23" t="str">
        <x:v>Cem Kaya</x:v>
      </x:c>
      <x:c r="F23" s="22" t="n">
        <x:v>165.17110266159696</x:v>
      </x:c>
      <x:c r="G23" s="22" t="n">
        <x:v>89.42965779467681</x:v>
      </x:c>
      <x:c r="H23" s="22" t="n">
        <x:v>200.76045627376428</x:v>
      </x:c>
      <x:c r="I23" s="22" t="n">
        <x:v>328.5171102661597</x:v>
      </x:c>
      <x:c r="J23" s="22" t="n">
        <x:v>0</x:v>
      </x:c>
      <x:c r="K23" s="22" t="n">
        <x:v>0</x:v>
      </x:c>
      <x:c r="L23" s="22" t="n">
        <x:v>273.7642585551331</x:v>
      </x:c>
      <x:c r="M23" s="22" t="n">
        <x:v>0</x:v>
      </x:c>
      <x:c r="N23" s="22" t="n">
        <x:v>0</x:v>
      </x:c>
      <x:c r="O23" s="22" t="n">
        <x:v>0</x:v>
      </x:c>
      <x:c r="P23" s="22" t="n">
        <x:v>228.13688212927758</x:v>
      </x:c>
      <x:c r="Q23" s="22" t="n">
        <x:v>1285.7794676806084</x:v>
      </x:c>
      <x:c r="R23" s="22" t="n">
        <x:v>1285.78</x:v>
      </x:c>
      <x:c r="S23" s="20" t="n">
        <x:v>46183</x:v>
      </x:c>
      <x:c r="T23" s="22" t="n">
        <x:v>0</x:v>
      </x:c>
      <x:c r="U23" t="str">
        <x:v>Ödendi</x:v>
      </x:c>
    </x:row>
    <x:row r="24">
      <x:c r="A24" s="24" t="n">
        <x:v>46204</x:v>
      </x:c>
      <x:c r="B24" s="24" t="n">
        <x:v>46174</x:v>
      </x:c>
      <x:c r="C24" t="str">
        <x:v>B005-R003</x:v>
      </x:c>
      <x:c r="D24" t="n">
        <x:v>3</x:v>
      </x:c>
      <x:c r="E24" t="str">
        <x:v>Cem Kaya</x:v>
      </x:c>
      <x:c r="F24" s="22" t="n">
        <x:v>177.0342205323194</x:v>
      </x:c>
      <x:c r="G24" s="22" t="n">
        <x:v>93.07984790874525</x:v>
      </x:c>
      <x:c r="H24" s="22" t="n">
        <x:v>200.76045627376428</x:v>
      </x:c>
      <x:c r="I24" s="22" t="n">
        <x:v>0</x:v>
      </x:c>
      <x:c r="J24" s="22" t="n">
        <x:v>0</x:v>
      </x:c>
      <x:c r="K24" s="22" t="n">
        <x:v>0</x:v>
      </x:c>
      <x:c r="L24" s="22" t="n">
        <x:v>292.0152091254753</x:v>
      </x:c>
      <x:c r="M24" s="22" t="n">
        <x:v>0</x:v>
      </x:c>
      <x:c r="N24" s="22" t="n">
        <x:v>0</x:v>
      </x:c>
      <x:c r="O24" s="22" t="n">
        <x:v>1596.958174904943</x:v>
      </x:c>
      <x:c r="P24" s="22" t="n">
        <x:v>228.13688212927758</x:v>
      </x:c>
      <x:c r="Q24" s="22" t="n">
        <x:v>2587.9847908745246</x:v>
      </x:c>
      <x:c r="R24" s="22" t="n">
        <x:v>2587.98</x:v>
      </x:c>
      <x:c r="S24" s="20" t="n">
        <x:v>46209</x:v>
      </x:c>
      <x:c r="T24" s="22" t="n">
        <x:v>0</x:v>
      </x:c>
      <x:c r="U24" t="str">
        <x:v>Ödendi</x:v>
      </x:c>
    </x:row>
    <x:row r="25">
      <x:c r="A25" s="24" t="n">
        <x:v>46023</x:v>
      </x:c>
      <x:c r="B25" s="24" t="n">
        <x:v>45992</x:v>
      </x:c>
      <x:c r="C25" t="str">
        <x:v>B005-R004</x:v>
      </x:c>
      <x:c r="D25" t="n">
        <x:v>4</x:v>
      </x:c>
      <x:c r="E25" t="str">
        <x:v>Ece Koç</x:v>
      </x:c>
      <x:c r="F25" s="22" t="n">
        <x:v>141.4448669201521</x:v>
      </x:c>
      <x:c r="G25" s="22" t="n">
        <x:v>74.82889733840304</x:v>
      </x:c>
      <x:c r="H25" s="22" t="n">
        <x:v>191.63498098859316</x:v>
      </x:c>
      <x:c r="I25" s="22" t="n">
        <x:v>164.25855513307985</x:v>
      </x:c>
      <x:c r="J25" s="22" t="n">
        <x:v>0</x:v>
      </x:c>
      <x:c r="K25" s="22" t="n">
        <x:v>0</x:v>
      </x:c>
      <x:c r="L25" s="22" t="n">
        <x:v>255.51330798479088</x:v>
      </x:c>
      <x:c r="M25" s="22" t="n">
        <x:v>0</x:v>
      </x:c>
      <x:c r="N25" s="22" t="n">
        <x:v>0</x:v>
      </x:c>
      <x:c r="O25" s="22" t="n">
        <x:v>0</x:v>
      </x:c>
      <x:c r="P25" s="22" t="n">
        <x:v>228.13688212927758</x:v>
      </x:c>
      <x:c r="Q25" s="22" t="n">
        <x:v>1055.8174904942966</x:v>
      </x:c>
      <x:c r="R25" s="22" t="n">
        <x:v>1055.82</x:v>
      </x:c>
      <x:c r="S25" s="20" t="n">
        <x:v>46027</x:v>
      </x:c>
      <x:c r="T25" s="22" t="n">
        <x:v>0</x:v>
      </x:c>
      <x:c r="U25" t="str">
        <x:v>Ödendi</x:v>
      </x:c>
    </x:row>
    <x:row r="26">
      <x:c r="A26" s="24" t="n">
        <x:v>46054</x:v>
      </x:c>
      <x:c r="B26" s="24" t="n">
        <x:v>46023</x:v>
      </x:c>
      <x:c r="C26" t="str">
        <x:v>B005-R004</x:v>
      </x:c>
      <x:c r="D26" t="n">
        <x:v>4</x:v>
      </x:c>
      <x:c r="E26" t="str">
        <x:v>Ece Koç</x:v>
      </x:c>
      <x:c r="F26" s="22" t="n">
        <x:v>150.5703422053232</x:v>
      </x:c>
      <x:c r="G26" s="22" t="n">
        <x:v>77.56653992395438</x:v>
      </x:c>
      <x:c r="H26" s="22" t="n">
        <x:v>191.63498098859316</x:v>
      </x:c>
      <x:c r="I26" s="22" t="n">
        <x:v>0</x:v>
      </x:c>
      <x:c r="J26" s="22" t="n">
        <x:v>292.0152091254753</x:v>
      </x:c>
      <x:c r="K26" s="22" t="n">
        <x:v>0</x:v>
      </x:c>
      <x:c r="L26" s="22" t="n">
        <x:v>255.51330798479088</x:v>
      </x:c>
      <x:c r="M26" s="22" t="n">
        <x:v>0</x:v>
      </x:c>
      <x:c r="N26" s="22" t="n">
        <x:v>0</x:v>
      </x:c>
      <x:c r="O26" s="22" t="n">
        <x:v>0</x:v>
      </x:c>
      <x:c r="P26" s="22" t="n">
        <x:v>228.13688212927758</x:v>
      </x:c>
      <x:c r="Q26" s="22" t="n">
        <x:v>1195.4372623574145</x:v>
      </x:c>
      <x:c r="R26" s="22" t="n">
        <x:v>1195.44</x:v>
      </x:c>
      <x:c r="S26" s="20" t="n">
        <x:v>46059</x:v>
      </x:c>
      <x:c r="T26" s="22" t="n">
        <x:v>0</x:v>
      </x:c>
      <x:c r="U26" t="str">
        <x:v>Ödendi</x:v>
      </x:c>
    </x:row>
    <x:row r="27">
      <x:c r="A27" s="24" t="n">
        <x:v>46082</x:v>
      </x:c>
      <x:c r="B27" s="24" t="n">
        <x:v>46054</x:v>
      </x:c>
      <x:c r="C27" t="str">
        <x:v>B005-R004</x:v>
      </x:c>
      <x:c r="D27" t="n">
        <x:v>4</x:v>
      </x:c>
      <x:c r="E27" t="str">
        <x:v>Ece Koç</x:v>
      </x:c>
      <x:c r="F27" s="22" t="n">
        <x:v>156.95817490494298</x:v>
      </x:c>
      <x:c r="G27" s="22" t="n">
        <x:v>83.95437262357414</x:v>
      </x:c>
      <x:c r="H27" s="22" t="n">
        <x:v>191.63498098859316</x:v>
      </x:c>
      <x:c r="I27" s="22" t="n">
        <x:v>219.01140684410646</x:v>
      </x:c>
      <x:c r="J27" s="22" t="n">
        <x:v>0</x:v>
      </x:c>
      <x:c r="K27" s="22" t="n">
        <x:v>383.2699619771863</x:v>
      </x:c>
      <x:c r="L27" s="22" t="n">
        <x:v>0</x:v>
      </x:c>
      <x:c r="M27" s="22" t="n">
        <x:v>0</x:v>
      </x:c>
      <x:c r="N27" s="22" t="n">
        <x:v>0</x:v>
      </x:c>
      <x:c r="O27" s="22" t="n">
        <x:v>0</x:v>
      </x:c>
      <x:c r="P27" s="22" t="n">
        <x:v>228.13688212927758</x:v>
      </x:c>
      <x:c r="Q27" s="22" t="n">
        <x:v>1262.9657794676807</x:v>
      </x:c>
      <x:c r="R27" s="22" t="n">
        <x:v>1262.97</x:v>
      </x:c>
      <x:c r="S27" s="20" t="n">
        <x:v>46086</x:v>
      </x:c>
      <x:c r="T27" s="22" t="n">
        <x:v>0</x:v>
      </x:c>
      <x:c r="U27" t="str">
        <x:v>Ödendi</x:v>
      </x:c>
    </x:row>
    <x:row r="28">
      <x:c r="A28" s="24" t="n">
        <x:v>46113</x:v>
      </x:c>
      <x:c r="B28" s="24" t="n">
        <x:v>46082</x:v>
      </x:c>
      <x:c r="C28" t="str">
        <x:v>B005-R004</x:v>
      </x:c>
      <x:c r="D28" t="n">
        <x:v>4</x:v>
      </x:c>
      <x:c r="E28" t="str">
        <x:v>Ece Koç</x:v>
      </x:c>
      <x:c r="F28" s="22" t="n">
        <x:v>144.18250950570342</x:v>
      </x:c>
      <x:c r="G28" s="22" t="n">
        <x:v>81.21673003802282</x:v>
      </x:c>
      <x:c r="H28" s="22" t="n">
        <x:v>191.63498098859316</x:v>
      </x:c>
      <x:c r="I28" s="22" t="n">
        <x:v>0</x:v>
      </x:c>
      <x:c r="J28" s="22" t="n">
        <x:v>0</x:v>
      </x:c>
      <x:c r="K28" s="22" t="n">
        <x:v>0</x:v>
      </x:c>
      <x:c r="L28" s="22" t="n">
        <x:v>273.7642585551331</x:v>
      </x:c>
      <x:c r="M28" s="22" t="n">
        <x:v>0</x:v>
      </x:c>
      <x:c r="N28" s="22" t="n">
        <x:v>346.7680608365019</x:v>
      </x:c>
      <x:c r="O28" s="22" t="n">
        <x:v>0</x:v>
      </x:c>
      <x:c r="P28" s="22" t="n">
        <x:v>228.13688212927758</x:v>
      </x:c>
      <x:c r="Q28" s="22" t="n">
        <x:v>1265.7034220532319</x:v>
      </x:c>
      <x:c r="R28" s="22" t="n">
        <x:v>1265.7</x:v>
      </x:c>
      <x:c r="S28" s="20" t="n">
        <x:v>46121</x:v>
      </x:c>
      <x:c r="T28" s="22" t="n">
        <x:v>0</x:v>
      </x:c>
      <x:c r="U28" t="str">
        <x:v>Ödendi</x:v>
      </x:c>
    </x:row>
    <x:row r="29">
      <x:c r="A29" s="24" t="n">
        <x:v>46143</x:v>
      </x:c>
      <x:c r="B29" s="24" t="n">
        <x:v>46113</x:v>
      </x:c>
      <x:c r="C29" t="str">
        <x:v>B005-R004</x:v>
      </x:c>
      <x:c r="D29" t="n">
        <x:v>4</x:v>
      </x:c>
      <x:c r="E29" t="str">
        <x:v>Ece Koç</x:v>
      </x:c>
      <x:c r="F29" s="22" t="n">
        <x:v>154.22053231939165</x:v>
      </x:c>
      <x:c r="G29" s="22" t="n">
        <x:v>83.04182509505704</x:v>
      </x:c>
      <x:c r="H29" s="22" t="n">
        <x:v>200.76045627376428</x:v>
      </x:c>
      <x:c r="I29" s="22" t="n">
        <x:v>0</x:v>
      </x:c>
      <x:c r="J29" s="22" t="n">
        <x:v>565.7794676806084</x:v>
      </x:c>
      <x:c r="K29" s="22" t="n">
        <x:v>0</x:v>
      </x:c>
      <x:c r="L29" s="22" t="n">
        <x:v>0</x:v>
      </x:c>
      <x:c r="M29" s="22" t="n">
        <x:v>237.26235741444867</x:v>
      </x:c>
      <x:c r="N29" s="22" t="n">
        <x:v>0</x:v>
      </x:c>
      <x:c r="O29" s="22" t="n">
        <x:v>0</x:v>
      </x:c>
      <x:c r="P29" s="22" t="n">
        <x:v>228.13688212927758</x:v>
      </x:c>
      <x:c r="Q29" s="22" t="n">
        <x:v>1469.2015209125475</x:v>
      </x:c>
      <x:c r="R29" s="22" t="n">
        <x:v>1469.2</x:v>
      </x:c>
      <x:c r="S29" s="20" t="n">
        <x:v>46152</x:v>
      </x:c>
      <x:c r="T29" s="22" t="n">
        <x:v>0</x:v>
      </x:c>
      <x:c r="U29" t="str">
        <x:v>Ödendi</x:v>
      </x:c>
    </x:row>
    <x:row r="30">
      <x:c r="A30" s="24" t="n">
        <x:v>46174</x:v>
      </x:c>
      <x:c r="B30" s="24" t="n">
        <x:v>46143</x:v>
      </x:c>
      <x:c r="C30" t="str">
        <x:v>B005-R004</x:v>
      </x:c>
      <x:c r="D30" t="n">
        <x:v>4</x:v>
      </x:c>
      <x:c r="E30" t="str">
        <x:v>Ece Koç</x:v>
      </x:c>
      <x:c r="F30" s="22" t="n">
        <x:v>165.17110266159696</x:v>
      </x:c>
      <x:c r="G30" s="22" t="n">
        <x:v>89.42965779467681</x:v>
      </x:c>
      <x:c r="H30" s="22" t="n">
        <x:v>200.76045627376428</x:v>
      </x:c>
      <x:c r="I30" s="22" t="n">
        <x:v>328.5171102661597</x:v>
      </x:c>
      <x:c r="J30" s="22" t="n">
        <x:v>0</x:v>
      </x:c>
      <x:c r="K30" s="22" t="n">
        <x:v>0</x:v>
      </x:c>
      <x:c r="L30" s="22" t="n">
        <x:v>273.7642585551331</x:v>
      </x:c>
      <x:c r="M30" s="22" t="n">
        <x:v>0</x:v>
      </x:c>
      <x:c r="N30" s="22" t="n">
        <x:v>0</x:v>
      </x:c>
      <x:c r="O30" s="22" t="n">
        <x:v>0</x:v>
      </x:c>
      <x:c r="P30" s="22" t="n">
        <x:v>228.13688212927758</x:v>
      </x:c>
      <x:c r="Q30" s="22" t="n">
        <x:v>1285.7794676806084</x:v>
      </x:c>
      <x:c r="R30" s="22" t="n">
        <x:v>1285.78</x:v>
      </x:c>
      <x:c r="S30" s="20" t="n">
        <x:v>46183</x:v>
      </x:c>
      <x:c r="T30" s="22" t="n">
        <x:v>0</x:v>
      </x:c>
      <x:c r="U30" t="str">
        <x:v>Ödendi</x:v>
      </x:c>
    </x:row>
    <x:row r="31">
      <x:c r="A31" s="24" t="n">
        <x:v>46204</x:v>
      </x:c>
      <x:c r="B31" s="24" t="n">
        <x:v>46174</x:v>
      </x:c>
      <x:c r="C31" t="str">
        <x:v>B005-R004</x:v>
      </x:c>
      <x:c r="D31" t="n">
        <x:v>4</x:v>
      </x:c>
      <x:c r="E31" t="str">
        <x:v>Ece Koç</x:v>
      </x:c>
      <x:c r="F31" s="22" t="n">
        <x:v>177.0342205323194</x:v>
      </x:c>
      <x:c r="G31" s="22" t="n">
        <x:v>93.07984790874525</x:v>
      </x:c>
      <x:c r="H31" s="22" t="n">
        <x:v>200.76045627376428</x:v>
      </x:c>
      <x:c r="I31" s="22" t="n">
        <x:v>0</x:v>
      </x:c>
      <x:c r="J31" s="22" t="n">
        <x:v>0</x:v>
      </x:c>
      <x:c r="K31" s="22" t="n">
        <x:v>0</x:v>
      </x:c>
      <x:c r="L31" s="22" t="n">
        <x:v>292.0152091254753</x:v>
      </x:c>
      <x:c r="M31" s="22" t="n">
        <x:v>0</x:v>
      </x:c>
      <x:c r="N31" s="22" t="n">
        <x:v>0</x:v>
      </x:c>
      <x:c r="O31" s="22" t="n">
        <x:v>1596.958174904943</x:v>
      </x:c>
      <x:c r="P31" s="22" t="n">
        <x:v>228.13688212927758</x:v>
      </x:c>
      <x:c r="Q31" s="22" t="n">
        <x:v>2587.9847908745246</x:v>
      </x:c>
      <x:c r="R31" s="22" t="n">
        <x:v>2587.98</x:v>
      </x:c>
      <x:c r="S31" s="20" t="n">
        <x:v>46207</x:v>
      </x:c>
      <x:c r="T31" s="22" t="n">
        <x:v>0</x:v>
      </x:c>
      <x:c r="U31" t="str">
        <x:v>Ödendi</x:v>
      </x:c>
    </x:row>
    <x:row r="32">
      <x:c r="A32" s="24" t="n">
        <x:v>46023</x:v>
      </x:c>
      <x:c r="B32" s="24" t="n">
        <x:v>45992</x:v>
      </x:c>
      <x:c r="C32" t="str">
        <x:v>B005-R005</x:v>
      </x:c>
      <x:c r="D32" t="n">
        <x:v>5</x:v>
      </x:c>
      <x:c r="E32" t="str">
        <x:v>Fatma Yıldız</x:v>
      </x:c>
      <x:c r="F32" s="22" t="n">
        <x:v>141.4448669201521</x:v>
      </x:c>
      <x:c r="G32" s="22" t="n">
        <x:v>74.82889733840304</x:v>
      </x:c>
      <x:c r="H32" s="22" t="n">
        <x:v>191.63498098859316</x:v>
      </x:c>
      <x:c r="I32" s="22" t="n">
        <x:v>164.25855513307985</x:v>
      </x:c>
      <x:c r="J32" s="22" t="n">
        <x:v>0</x:v>
      </x:c>
      <x:c r="K32" s="22" t="n">
        <x:v>0</x:v>
      </x:c>
      <x:c r="L32" s="22" t="n">
        <x:v>255.51330798479088</x:v>
      </x:c>
      <x:c r="M32" s="22" t="n">
        <x:v>0</x:v>
      </x:c>
      <x:c r="N32" s="22" t="n">
        <x:v>0</x:v>
      </x:c>
      <x:c r="O32" s="22" t="n">
        <x:v>0</x:v>
      </x:c>
      <x:c r="P32" s="22" t="n">
        <x:v>228.13688212927758</x:v>
      </x:c>
      <x:c r="Q32" s="22" t="n">
        <x:v>1055.8174904942966</x:v>
      </x:c>
      <x:c r="R32" s="22" t="n">
        <x:v>1055.82</x:v>
      </x:c>
      <x:c r="S32" s="20" t="n">
        <x:v>46029</x:v>
      </x:c>
      <x:c r="T32" s="22" t="n">
        <x:v>0</x:v>
      </x:c>
      <x:c r="U32" t="str">
        <x:v>Ödendi</x:v>
      </x:c>
    </x:row>
    <x:row r="33">
      <x:c r="A33" s="24" t="n">
        <x:v>46054</x:v>
      </x:c>
      <x:c r="B33" s="24" t="n">
        <x:v>46023</x:v>
      </x:c>
      <x:c r="C33" t="str">
        <x:v>B005-R005</x:v>
      </x:c>
      <x:c r="D33" t="n">
        <x:v>5</x:v>
      </x:c>
      <x:c r="E33" t="str">
        <x:v>Fatma Yıldız</x:v>
      </x:c>
      <x:c r="F33" s="22" t="n">
        <x:v>150.5703422053232</x:v>
      </x:c>
      <x:c r="G33" s="22" t="n">
        <x:v>77.56653992395438</x:v>
      </x:c>
      <x:c r="H33" s="22" t="n">
        <x:v>191.63498098859316</x:v>
      </x:c>
      <x:c r="I33" s="22" t="n">
        <x:v>0</x:v>
      </x:c>
      <x:c r="J33" s="22" t="n">
        <x:v>292.0152091254753</x:v>
      </x:c>
      <x:c r="K33" s="22" t="n">
        <x:v>0</x:v>
      </x:c>
      <x:c r="L33" s="22" t="n">
        <x:v>255.51330798479088</x:v>
      </x:c>
      <x:c r="M33" s="22" t="n">
        <x:v>0</x:v>
      </x:c>
      <x:c r="N33" s="22" t="n">
        <x:v>0</x:v>
      </x:c>
      <x:c r="O33" s="22" t="n">
        <x:v>0</x:v>
      </x:c>
      <x:c r="P33" s="22" t="n">
        <x:v>228.13688212927758</x:v>
      </x:c>
      <x:c r="Q33" s="22" t="n">
        <x:v>1195.4372623574145</x:v>
      </x:c>
      <x:c r="R33" s="22" t="n">
        <x:v>1195.44</x:v>
      </x:c>
      <x:c r="S33" s="20" t="n">
        <x:v>46063</x:v>
      </x:c>
      <x:c r="T33" s="22" t="n">
        <x:v>0</x:v>
      </x:c>
      <x:c r="U33" t="str">
        <x:v>Ödendi</x:v>
      </x:c>
    </x:row>
    <x:row r="34">
      <x:c r="A34" s="24" t="n">
        <x:v>46082</x:v>
      </x:c>
      <x:c r="B34" s="24" t="n">
        <x:v>46054</x:v>
      </x:c>
      <x:c r="C34" t="str">
        <x:v>B005-R005</x:v>
      </x:c>
      <x:c r="D34" t="n">
        <x:v>5</x:v>
      </x:c>
      <x:c r="E34" t="str">
        <x:v>Fatma Yıldız</x:v>
      </x:c>
      <x:c r="F34" s="22" t="n">
        <x:v>156.95817490494298</x:v>
      </x:c>
      <x:c r="G34" s="22" t="n">
        <x:v>83.95437262357414</x:v>
      </x:c>
      <x:c r="H34" s="22" t="n">
        <x:v>191.63498098859316</x:v>
      </x:c>
      <x:c r="I34" s="22" t="n">
        <x:v>219.01140684410646</x:v>
      </x:c>
      <x:c r="J34" s="22" t="n">
        <x:v>0</x:v>
      </x:c>
      <x:c r="K34" s="22" t="n">
        <x:v>383.2699619771863</x:v>
      </x:c>
      <x:c r="L34" s="22" t="n">
        <x:v>0</x:v>
      </x:c>
      <x:c r="M34" s="22" t="n">
        <x:v>0</x:v>
      </x:c>
      <x:c r="N34" s="22" t="n">
        <x:v>0</x:v>
      </x:c>
      <x:c r="O34" s="22" t="n">
        <x:v>0</x:v>
      </x:c>
      <x:c r="P34" s="22" t="n">
        <x:v>228.13688212927758</x:v>
      </x:c>
      <x:c r="Q34" s="22" t="n">
        <x:v>1262.9657794676807</x:v>
      </x:c>
      <x:c r="R34" s="22" t="n">
        <x:v>0</x:v>
      </x:c>
      <x:c r="S34" s="20"/>
      <x:c r="T34" s="22" t="n">
        <x:v>1262.97</x:v>
      </x:c>
      <x:c r="U34" t="str">
        <x:v>Ödenmedi</x:v>
      </x:c>
    </x:row>
    <x:row r="35">
      <x:c r="A35" s="24" t="n">
        <x:v>46113</x:v>
      </x:c>
      <x:c r="B35" s="24" t="n">
        <x:v>46082</x:v>
      </x:c>
      <x:c r="C35" t="str">
        <x:v>B005-R005</x:v>
      </x:c>
      <x:c r="D35" t="n">
        <x:v>5</x:v>
      </x:c>
      <x:c r="E35" t="str">
        <x:v>Fatma Yıldız</x:v>
      </x:c>
      <x:c r="F35" s="22" t="n">
        <x:v>144.18250950570342</x:v>
      </x:c>
      <x:c r="G35" s="22" t="n">
        <x:v>81.21673003802282</x:v>
      </x:c>
      <x:c r="H35" s="22" t="n">
        <x:v>191.63498098859316</x:v>
      </x:c>
      <x:c r="I35" s="22" t="n">
        <x:v>0</x:v>
      </x:c>
      <x:c r="J35" s="22" t="n">
        <x:v>0</x:v>
      </x:c>
      <x:c r="K35" s="22" t="n">
        <x:v>0</x:v>
      </x:c>
      <x:c r="L35" s="22" t="n">
        <x:v>273.7642585551331</x:v>
      </x:c>
      <x:c r="M35" s="22" t="n">
        <x:v>0</x:v>
      </x:c>
      <x:c r="N35" s="22" t="n">
        <x:v>346.7680608365019</x:v>
      </x:c>
      <x:c r="O35" s="22" t="n">
        <x:v>0</x:v>
      </x:c>
      <x:c r="P35" s="22" t="n">
        <x:v>228.13688212927758</x:v>
      </x:c>
      <x:c r="Q35" s="22" t="n">
        <x:v>1265.7034220532319</x:v>
      </x:c>
      <x:c r="R35" s="22" t="n">
        <x:v>1265.7</x:v>
      </x:c>
      <x:c r="S35" s="20" t="n">
        <x:v>46116</x:v>
      </x:c>
      <x:c r="T35" s="22" t="n">
        <x:v>0</x:v>
      </x:c>
      <x:c r="U35" t="str">
        <x:v>Ödendi</x:v>
      </x:c>
    </x:row>
    <x:row r="36">
      <x:c r="A36" s="24" t="n">
        <x:v>46143</x:v>
      </x:c>
      <x:c r="B36" s="24" t="n">
        <x:v>46113</x:v>
      </x:c>
      <x:c r="C36" t="str">
        <x:v>B005-R005</x:v>
      </x:c>
      <x:c r="D36" t="n">
        <x:v>5</x:v>
      </x:c>
      <x:c r="E36" t="str">
        <x:v>Fatma Yıldız</x:v>
      </x:c>
      <x:c r="F36" s="22" t="n">
        <x:v>154.22053231939165</x:v>
      </x:c>
      <x:c r="G36" s="22" t="n">
        <x:v>83.04182509505704</x:v>
      </x:c>
      <x:c r="H36" s="22" t="n">
        <x:v>200.76045627376428</x:v>
      </x:c>
      <x:c r="I36" s="22" t="n">
        <x:v>0</x:v>
      </x:c>
      <x:c r="J36" s="22" t="n">
        <x:v>565.7794676806084</x:v>
      </x:c>
      <x:c r="K36" s="22" t="n">
        <x:v>0</x:v>
      </x:c>
      <x:c r="L36" s="22" t="n">
        <x:v>0</x:v>
      </x:c>
      <x:c r="M36" s="22" t="n">
        <x:v>237.26235741444867</x:v>
      </x:c>
      <x:c r="N36" s="22" t="n">
        <x:v>0</x:v>
      </x:c>
      <x:c r="O36" s="22" t="n">
        <x:v>0</x:v>
      </x:c>
      <x:c r="P36" s="22" t="n">
        <x:v>228.13688212927758</x:v>
      </x:c>
      <x:c r="Q36" s="22" t="n">
        <x:v>1469.2015209125475</x:v>
      </x:c>
      <x:c r="R36" s="22" t="n">
        <x:v>1469.2</x:v>
      </x:c>
      <x:c r="S36" s="20" t="n">
        <x:v>46147</x:v>
      </x:c>
      <x:c r="T36" s="22" t="n">
        <x:v>0</x:v>
      </x:c>
      <x:c r="U36" t="str">
        <x:v>Ödendi</x:v>
      </x:c>
    </x:row>
    <x:row r="37">
      <x:c r="A37" s="24" t="n">
        <x:v>46174</x:v>
      </x:c>
      <x:c r="B37" s="24" t="n">
        <x:v>46143</x:v>
      </x:c>
      <x:c r="C37" t="str">
        <x:v>B005-R005</x:v>
      </x:c>
      <x:c r="D37" t="n">
        <x:v>5</x:v>
      </x:c>
      <x:c r="E37" t="str">
        <x:v>Fatma Yıldız</x:v>
      </x:c>
      <x:c r="F37" s="22" t="n">
        <x:v>165.17110266159696</x:v>
      </x:c>
      <x:c r="G37" s="22" t="n">
        <x:v>89.42965779467681</x:v>
      </x:c>
      <x:c r="H37" s="22" t="n">
        <x:v>200.76045627376428</x:v>
      </x:c>
      <x:c r="I37" s="22" t="n">
        <x:v>328.5171102661597</x:v>
      </x:c>
      <x:c r="J37" s="22" t="n">
        <x:v>0</x:v>
      </x:c>
      <x:c r="K37" s="22" t="n">
        <x:v>0</x:v>
      </x:c>
      <x:c r="L37" s="22" t="n">
        <x:v>273.7642585551331</x:v>
      </x:c>
      <x:c r="M37" s="22" t="n">
        <x:v>0</x:v>
      </x:c>
      <x:c r="N37" s="22" t="n">
        <x:v>0</x:v>
      </x:c>
      <x:c r="O37" s="22" t="n">
        <x:v>0</x:v>
      </x:c>
      <x:c r="P37" s="22" t="n">
        <x:v>228.13688212927758</x:v>
      </x:c>
      <x:c r="Q37" s="22" t="n">
        <x:v>1285.7794676806084</x:v>
      </x:c>
      <x:c r="R37" s="22" t="n">
        <x:v>1285.78</x:v>
      </x:c>
      <x:c r="S37" s="20" t="n">
        <x:v>46178</x:v>
      </x:c>
      <x:c r="T37" s="22" t="n">
        <x:v>0</x:v>
      </x:c>
      <x:c r="U37" t="str">
        <x:v>Ödendi</x:v>
      </x:c>
    </x:row>
    <x:row r="38">
      <x:c r="A38" s="24" t="n">
        <x:v>46204</x:v>
      </x:c>
      <x:c r="B38" s="24" t="n">
        <x:v>46174</x:v>
      </x:c>
      <x:c r="C38" t="str">
        <x:v>B005-R005</x:v>
      </x:c>
      <x:c r="D38" t="n">
        <x:v>5</x:v>
      </x:c>
      <x:c r="E38" t="str">
        <x:v>Fatma Yıldız</x:v>
      </x:c>
      <x:c r="F38" s="22" t="n">
        <x:v>177.0342205323194</x:v>
      </x:c>
      <x:c r="G38" s="22" t="n">
        <x:v>93.07984790874525</x:v>
      </x:c>
      <x:c r="H38" s="22" t="n">
        <x:v>200.76045627376428</x:v>
      </x:c>
      <x:c r="I38" s="22" t="n">
        <x:v>0</x:v>
      </x:c>
      <x:c r="J38" s="22" t="n">
        <x:v>0</x:v>
      </x:c>
      <x:c r="K38" s="22" t="n">
        <x:v>0</x:v>
      </x:c>
      <x:c r="L38" s="22" t="n">
        <x:v>292.0152091254753</x:v>
      </x:c>
      <x:c r="M38" s="22" t="n">
        <x:v>0</x:v>
      </x:c>
      <x:c r="N38" s="22" t="n">
        <x:v>0</x:v>
      </x:c>
      <x:c r="O38" s="22" t="n">
        <x:v>1596.958174904943</x:v>
      </x:c>
      <x:c r="P38" s="22" t="n">
        <x:v>228.13688212927758</x:v>
      </x:c>
      <x:c r="Q38" s="22" t="n">
        <x:v>2587.9847908745246</x:v>
      </x:c>
      <x:c r="R38" s="22" t="n">
        <x:v>2587.98</x:v>
      </x:c>
      <x:c r="S38" s="20" t="n">
        <x:v>46208</x:v>
      </x:c>
      <x:c r="T38" s="22" t="n">
        <x:v>0</x:v>
      </x:c>
      <x:c r="U38" t="str">
        <x:v>Ödendi</x:v>
      </x:c>
    </x:row>
    <x:row r="39">
      <x:c r="A39" s="24" t="n">
        <x:v>46023</x:v>
      </x:c>
      <x:c r="B39" s="24" t="n">
        <x:v>45992</x:v>
      </x:c>
      <x:c r="C39" t="str">
        <x:v>B005-R006</x:v>
      </x:c>
      <x:c r="D39" t="n">
        <x:v>6</x:v>
      </x:c>
      <x:c r="E39" t="str">
        <x:v>Nihan Demir</x:v>
      </x:c>
      <x:c r="F39" s="22" t="n">
        <x:v>100.19011406844106</x:v>
      </x:c>
      <x:c r="G39" s="22" t="n">
        <x:v>53.00380228136882</x:v>
      </x:c>
      <x:c r="H39" s="22" t="n">
        <x:v>135.74144486692015</x:v>
      </x:c>
      <x:c r="I39" s="22" t="n">
        <x:v>116.34980988593155</x:v>
      </x:c>
      <x:c r="J39" s="22" t="n">
        <x:v>0</x:v>
      </x:c>
      <x:c r="K39" s="22" t="n">
        <x:v>0</x:v>
      </x:c>
      <x:c r="L39" s="22" t="n">
        <x:v>180.98859315589354</x:v>
      </x:c>
      <x:c r="M39" s="22" t="n">
        <x:v>0</x:v>
      </x:c>
      <x:c r="N39" s="22" t="n">
        <x:v>0</x:v>
      </x:c>
      <x:c r="O39" s="22" t="n">
        <x:v>0</x:v>
      </x:c>
      <x:c r="P39" s="22" t="n">
        <x:v>161.59695817490493</x:v>
      </x:c>
      <x:c r="Q39" s="22" t="n">
        <x:v>747.8707224334601</x:v>
      </x:c>
      <x:c r="R39" s="22" t="n">
        <x:v>747.87</x:v>
      </x:c>
      <x:c r="S39" s="20" t="n">
        <x:v>46026</x:v>
      </x:c>
      <x:c r="T39" s="22" t="n">
        <x:v>0</x:v>
      </x:c>
      <x:c r="U39" t="str">
        <x:v>Ödendi</x:v>
      </x:c>
    </x:row>
    <x:row r="40">
      <x:c r="A40" s="24" t="n">
        <x:v>46054</x:v>
      </x:c>
      <x:c r="B40" s="24" t="n">
        <x:v>46023</x:v>
      </x:c>
      <x:c r="C40" t="str">
        <x:v>B005-R006</x:v>
      </x:c>
      <x:c r="D40" t="n">
        <x:v>6</x:v>
      </x:c>
      <x:c r="E40" t="str">
        <x:v>Nihan Demir</x:v>
      </x:c>
      <x:c r="F40" s="22" t="n">
        <x:v>106.65399239543726</x:v>
      </x:c>
      <x:c r="G40" s="22" t="n">
        <x:v>54.94296577946768</x:v>
      </x:c>
      <x:c r="H40" s="22" t="n">
        <x:v>135.74144486692015</x:v>
      </x:c>
      <x:c r="I40" s="22" t="n">
        <x:v>0</x:v>
      </x:c>
      <x:c r="J40" s="22" t="n">
        <x:v>206.84410646387832</x:v>
      </x:c>
      <x:c r="K40" s="22" t="n">
        <x:v>0</x:v>
      </x:c>
      <x:c r="L40" s="22" t="n">
        <x:v>180.98859315589354</x:v>
      </x:c>
      <x:c r="M40" s="22" t="n">
        <x:v>0</x:v>
      </x:c>
      <x:c r="N40" s="22" t="n">
        <x:v>0</x:v>
      </x:c>
      <x:c r="O40" s="22" t="n">
        <x:v>0</x:v>
      </x:c>
      <x:c r="P40" s="22" t="n">
        <x:v>161.59695817490493</x:v>
      </x:c>
      <x:c r="Q40" s="22" t="n">
        <x:v>846.7680608365018</x:v>
      </x:c>
      <x:c r="R40" s="22" t="n">
        <x:v>846.77</x:v>
      </x:c>
      <x:c r="S40" s="20" t="n">
        <x:v>46061</x:v>
      </x:c>
      <x:c r="T40" s="22" t="n">
        <x:v>0</x:v>
      </x:c>
      <x:c r="U40" t="str">
        <x:v>Ödendi</x:v>
      </x:c>
    </x:row>
    <x:row r="41">
      <x:c r="A41" s="24" t="n">
        <x:v>46082</x:v>
      </x:c>
      <x:c r="B41" s="24" t="n">
        <x:v>46054</x:v>
      </x:c>
      <x:c r="C41" t="str">
        <x:v>B005-R006</x:v>
      </x:c>
      <x:c r="D41" t="n">
        <x:v>6</x:v>
      </x:c>
      <x:c r="E41" t="str">
        <x:v>Nihan Demir</x:v>
      </x:c>
      <x:c r="F41" s="22" t="n">
        <x:v>111.1787072243346</x:v>
      </x:c>
      <x:c r="G41" s="22" t="n">
        <x:v>59.467680608365015</x:v>
      </x:c>
      <x:c r="H41" s="22" t="n">
        <x:v>135.74144486692015</x:v>
      </x:c>
      <x:c r="I41" s="22" t="n">
        <x:v>155.13307984790873</x:v>
      </x:c>
      <x:c r="J41" s="22" t="n">
        <x:v>0</x:v>
      </x:c>
      <x:c r="K41" s="22" t="n">
        <x:v>271.4828897338403</x:v>
      </x:c>
      <x:c r="L41" s="22" t="n">
        <x:v>0</x:v>
      </x:c>
      <x:c r="M41" s="22" t="n">
        <x:v>0</x:v>
      </x:c>
      <x:c r="N41" s="22" t="n">
        <x:v>0</x:v>
      </x:c>
      <x:c r="O41" s="22" t="n">
        <x:v>0</x:v>
      </x:c>
      <x:c r="P41" s="22" t="n">
        <x:v>161.59695817490493</x:v>
      </x:c>
      <x:c r="Q41" s="22" t="n">
        <x:v>894.6007604562737</x:v>
      </x:c>
      <x:c r="R41" s="22" t="n">
        <x:v>894.6</x:v>
      </x:c>
      <x:c r="S41" s="20" t="n">
        <x:v>46091</x:v>
      </x:c>
      <x:c r="T41" s="22" t="n">
        <x:v>0</x:v>
      </x:c>
      <x:c r="U41" t="str">
        <x:v>Ödendi</x:v>
      </x:c>
    </x:row>
    <x:row r="42">
      <x:c r="A42" s="24" t="n">
        <x:v>46113</x:v>
      </x:c>
      <x:c r="B42" s="24" t="n">
        <x:v>46082</x:v>
      </x:c>
      <x:c r="C42" t="str">
        <x:v>B005-R006</x:v>
      </x:c>
      <x:c r="D42" t="n">
        <x:v>6</x:v>
      </x:c>
      <x:c r="E42" t="str">
        <x:v>Nihan Demir</x:v>
      </x:c>
      <x:c r="F42" s="22" t="n">
        <x:v>102.12927756653993</x:v>
      </x:c>
      <x:c r="G42" s="22" t="n">
        <x:v>57.52851711026616</x:v>
      </x:c>
      <x:c r="H42" s="22" t="n">
        <x:v>135.74144486692015</x:v>
      </x:c>
      <x:c r="I42" s="22" t="n">
        <x:v>0</x:v>
      </x:c>
      <x:c r="J42" s="22" t="n">
        <x:v>0</x:v>
      </x:c>
      <x:c r="K42" s="22" t="n">
        <x:v>0</x:v>
      </x:c>
      <x:c r="L42" s="22" t="n">
        <x:v>193.91634980988593</x:v>
      </x:c>
      <x:c r="M42" s="22" t="n">
        <x:v>0</x:v>
      </x:c>
      <x:c r="N42" s="22" t="n">
        <x:v>245.62737642585552</x:v>
      </x:c>
      <x:c r="O42" s="22" t="n">
        <x:v>0</x:v>
      </x:c>
      <x:c r="P42" s="22" t="n">
        <x:v>161.59695817490493</x:v>
      </x:c>
      <x:c r="Q42" s="22" t="n">
        <x:v>896.5399239543726</x:v>
      </x:c>
      <x:c r="R42" s="22" t="n">
        <x:v>896.54</x:v>
      </x:c>
      <x:c r="S42" s="20" t="n">
        <x:v>46118</x:v>
      </x:c>
      <x:c r="T42" s="22" t="n">
        <x:v>0</x:v>
      </x:c>
      <x:c r="U42" t="str">
        <x:v>Ödendi</x:v>
      </x:c>
    </x:row>
    <x:row r="43">
      <x:c r="A43" s="24" t="n">
        <x:v>46143</x:v>
      </x:c>
      <x:c r="B43" s="24" t="n">
        <x:v>46113</x:v>
      </x:c>
      <x:c r="C43" t="str">
        <x:v>B005-R006</x:v>
      </x:c>
      <x:c r="D43" t="n">
        <x:v>6</x:v>
      </x:c>
      <x:c r="E43" t="str">
        <x:v>Nihan Demir</x:v>
      </x:c>
      <x:c r="F43" s="22" t="n">
        <x:v>109.23954372623574</x:v>
      </x:c>
      <x:c r="G43" s="22" t="n">
        <x:v>58.8212927756654</x:v>
      </x:c>
      <x:c r="H43" s="22" t="n">
        <x:v>142.20532319391634</x:v>
      </x:c>
      <x:c r="I43" s="22" t="n">
        <x:v>0</x:v>
      </x:c>
      <x:c r="J43" s="22" t="n">
        <x:v>400.76045627376425</x:v>
      </x:c>
      <x:c r="K43" s="22" t="n">
        <x:v>0</x:v>
      </x:c>
      <x:c r="L43" s="22" t="n">
        <x:v>0</x:v>
      </x:c>
      <x:c r="M43" s="22" t="n">
        <x:v>168.06083650190112</x:v>
      </x:c>
      <x:c r="N43" s="22" t="n">
        <x:v>0</x:v>
      </x:c>
      <x:c r="O43" s="22" t="n">
        <x:v>0</x:v>
      </x:c>
      <x:c r="P43" s="22" t="n">
        <x:v>161.59695817490493</x:v>
      </x:c>
      <x:c r="Q43" s="22" t="n">
        <x:v>1040.6844106463877</x:v>
      </x:c>
      <x:c r="R43" s="22" t="n">
        <x:v>520.34</x:v>
      </x:c>
      <x:c r="S43" s="20" t="n">
        <x:v>46157</x:v>
      </x:c>
      <x:c r="T43" s="22" t="n">
        <x:v>520.34</x:v>
      </x:c>
      <x:c r="U43" t="str">
        <x:v>Kısmi Ödeme</x:v>
      </x:c>
    </x:row>
    <x:row r="44">
      <x:c r="A44" s="24" t="n">
        <x:v>46174</x:v>
      </x:c>
      <x:c r="B44" s="24" t="n">
        <x:v>46143</x:v>
      </x:c>
      <x:c r="C44" t="str">
        <x:v>B005-R006</x:v>
      </x:c>
      <x:c r="D44" t="n">
        <x:v>6</x:v>
      </x:c>
      <x:c r="E44" t="str">
        <x:v>Nihan Demir</x:v>
      </x:c>
      <x:c r="F44" s="22" t="n">
        <x:v>116.99619771863118</x:v>
      </x:c>
      <x:c r="G44" s="22" t="n">
        <x:v>63.346007604562736</x:v>
      </x:c>
      <x:c r="H44" s="22" t="n">
        <x:v>142.20532319391634</x:v>
      </x:c>
      <x:c r="I44" s="22" t="n">
        <x:v>232.6996197718631</x:v>
      </x:c>
      <x:c r="J44" s="22" t="n">
        <x:v>0</x:v>
      </x:c>
      <x:c r="K44" s="22" t="n">
        <x:v>0</x:v>
      </x:c>
      <x:c r="L44" s="22" t="n">
        <x:v>193.91634980988593</x:v>
      </x:c>
      <x:c r="M44" s="22" t="n">
        <x:v>0</x:v>
      </x:c>
      <x:c r="N44" s="22" t="n">
        <x:v>0</x:v>
      </x:c>
      <x:c r="O44" s="22" t="n">
        <x:v>0</x:v>
      </x:c>
      <x:c r="P44" s="22" t="n">
        <x:v>161.59695817490493</x:v>
      </x:c>
      <x:c r="Q44" s="22" t="n">
        <x:v>910.7604562737642</x:v>
      </x:c>
      <x:c r="R44" s="22" t="n">
        <x:v>910.76</x:v>
      </x:c>
      <x:c r="S44" s="20" t="n">
        <x:v>46185</x:v>
      </x:c>
      <x:c r="T44" s="22" t="n">
        <x:v>0</x:v>
      </x:c>
      <x:c r="U44" t="str">
        <x:v>Ödendi</x:v>
      </x:c>
    </x:row>
    <x:row r="45">
      <x:c r="A45" s="24" t="n">
        <x:v>46204</x:v>
      </x:c>
      <x:c r="B45" s="24" t="n">
        <x:v>46174</x:v>
      </x:c>
      <x:c r="C45" t="str">
        <x:v>B005-R006</x:v>
      </x:c>
      <x:c r="D45" t="n">
        <x:v>6</x:v>
      </x:c>
      <x:c r="E45" t="str">
        <x:v>Nihan Demir</x:v>
      </x:c>
      <x:c r="F45" s="22" t="n">
        <x:v>125.39923954372622</x:v>
      </x:c>
      <x:c r="G45" s="22" t="n">
        <x:v>65.93155893536121</x:v>
      </x:c>
      <x:c r="H45" s="22" t="n">
        <x:v>142.20532319391634</x:v>
      </x:c>
      <x:c r="I45" s="22" t="n">
        <x:v>0</x:v>
      </x:c>
      <x:c r="J45" s="22" t="n">
        <x:v>0</x:v>
      </x:c>
      <x:c r="K45" s="22" t="n">
        <x:v>0</x:v>
      </x:c>
      <x:c r="L45" s="22" t="n">
        <x:v>206.84410646387832</x:v>
      </x:c>
      <x:c r="M45" s="22" t="n">
        <x:v>0</x:v>
      </x:c>
      <x:c r="N45" s="22" t="n">
        <x:v>0</x:v>
      </x:c>
      <x:c r="O45" s="22" t="n">
        <x:v>1131.1787072243346</x:v>
      </x:c>
      <x:c r="P45" s="22" t="n">
        <x:v>161.59695817490493</x:v>
      </x:c>
      <x:c r="Q45" s="22" t="n">
        <x:v>1833.1558935361218</x:v>
      </x:c>
      <x:c r="R45" s="22" t="n">
        <x:v>1833.16</x:v>
      </x:c>
      <x:c r="S45" s="20" t="n">
        <x:v>46214</x:v>
      </x:c>
      <x:c r="T45" s="22" t="n">
        <x:v>0</x:v>
      </x:c>
      <x:c r="U45" t="str">
        <x:v>Ödendi</x:v>
      </x:c>
    </x:row>
    <x:row r="46">
      <x:c r="A46" s="24" t="n">
        <x:v>46023</x:v>
      </x:c>
      <x:c r="B46" s="24" t="n">
        <x:v>45992</x:v>
      </x:c>
      <x:c r="C46" t="str">
        <x:v>B005-R007</x:v>
      </x:c>
      <x:c r="D46" t="n">
        <x:v>7</x:v>
      </x:c>
      <x:c r="E46" t="str">
        <x:v>Ece Demir</x:v>
      </x:c>
      <x:c r="F46" s="22" t="n">
        <x:v>165.0190114068441</x:v>
      </x:c>
      <x:c r="G46" s="22" t="n">
        <x:v>87.30038022813687</x:v>
      </x:c>
      <x:c r="H46" s="22" t="n">
        <x:v>223.574144486692</x:v>
      </x:c>
      <x:c r="I46" s="22" t="n">
        <x:v>191.63498098859316</x:v>
      </x:c>
      <x:c r="J46" s="22" t="n">
        <x:v>0</x:v>
      </x:c>
      <x:c r="K46" s="22" t="n">
        <x:v>0</x:v>
      </x:c>
      <x:c r="L46" s="22" t="n">
        <x:v>298.0988593155893</x:v>
      </x:c>
      <x:c r="M46" s="22" t="n">
        <x:v>0</x:v>
      </x:c>
      <x:c r="N46" s="22" t="n">
        <x:v>0</x:v>
      </x:c>
      <x:c r="O46" s="22" t="n">
        <x:v>0</x:v>
      </x:c>
      <x:c r="P46" s="22" t="n">
        <x:v>266.1596958174905</x:v>
      </x:c>
      <x:c r="Q46" s="22" t="n">
        <x:v>1231.7870722433458</x:v>
      </x:c>
      <x:c r="R46" s="22" t="n">
        <x:v>1231.79</x:v>
      </x:c>
      <x:c r="S46" s="20" t="n">
        <x:v>46027</x:v>
      </x:c>
      <x:c r="T46" s="22" t="n">
        <x:v>0</x:v>
      </x:c>
      <x:c r="U46" t="str">
        <x:v>Ödendi</x:v>
      </x:c>
    </x:row>
    <x:row r="47">
      <x:c r="A47" s="24" t="n">
        <x:v>46054</x:v>
      </x:c>
      <x:c r="B47" s="24" t="n">
        <x:v>46023</x:v>
      </x:c>
      <x:c r="C47" t="str">
        <x:v>B005-R007</x:v>
      </x:c>
      <x:c r="D47" t="n">
        <x:v>7</x:v>
      </x:c>
      <x:c r="E47" t="str">
        <x:v>Ece Demir</x:v>
      </x:c>
      <x:c r="F47" s="22" t="n">
        <x:v>175.66539923954372</x:v>
      </x:c>
      <x:c r="G47" s="22" t="n">
        <x:v>90.49429657794677</x:v>
      </x:c>
      <x:c r="H47" s="22" t="n">
        <x:v>223.574144486692</x:v>
      </x:c>
      <x:c r="I47" s="22" t="n">
        <x:v>0</x:v>
      </x:c>
      <x:c r="J47" s="22" t="n">
        <x:v>340.6844106463878</x:v>
      </x:c>
      <x:c r="K47" s="22" t="n">
        <x:v>0</x:v>
      </x:c>
      <x:c r="L47" s="22" t="n">
        <x:v>298.0988593155893</x:v>
      </x:c>
      <x:c r="M47" s="22" t="n">
        <x:v>0</x:v>
      </x:c>
      <x:c r="N47" s="22" t="n">
        <x:v>0</x:v>
      </x:c>
      <x:c r="O47" s="22" t="n">
        <x:v>0</x:v>
      </x:c>
      <x:c r="P47" s="22" t="n">
        <x:v>266.1596958174905</x:v>
      </x:c>
      <x:c r="Q47" s="22" t="n">
        <x:v>1394.67680608365</x:v>
      </x:c>
      <x:c r="R47" s="22" t="n">
        <x:v>1394.68</x:v>
      </x:c>
      <x:c r="S47" s="20" t="n">
        <x:v>46061</x:v>
      </x:c>
      <x:c r="T47" s="22" t="n">
        <x:v>0</x:v>
      </x:c>
      <x:c r="U47" t="str">
        <x:v>Ödendi</x:v>
      </x:c>
    </x:row>
    <x:row r="48">
      <x:c r="A48" s="24" t="n">
        <x:v>46082</x:v>
      </x:c>
      <x:c r="B48" s="24" t="n">
        <x:v>46054</x:v>
      </x:c>
      <x:c r="C48" t="str">
        <x:v>B005-R007</x:v>
      </x:c>
      <x:c r="D48" t="n">
        <x:v>7</x:v>
      </x:c>
      <x:c r="E48" t="str">
        <x:v>Ece Demir</x:v>
      </x:c>
      <x:c r="F48" s="22" t="n">
        <x:v>183.11787072243345</x:v>
      </x:c>
      <x:c r="G48" s="22" t="n">
        <x:v>97.94676806083649</x:v>
      </x:c>
      <x:c r="H48" s="22" t="n">
        <x:v>223.574144486692</x:v>
      </x:c>
      <x:c r="I48" s="22" t="n">
        <x:v>255.51330798479086</x:v>
      </x:c>
      <x:c r="J48" s="22" t="n">
        <x:v>0</x:v>
      </x:c>
      <x:c r="K48" s="22" t="n">
        <x:v>447.148288973384</x:v>
      </x:c>
      <x:c r="L48" s="22" t="n">
        <x:v>0</x:v>
      </x:c>
      <x:c r="M48" s="22" t="n">
        <x:v>0</x:v>
      </x:c>
      <x:c r="N48" s="22" t="n">
        <x:v>0</x:v>
      </x:c>
      <x:c r="O48" s="22" t="n">
        <x:v>0</x:v>
      </x:c>
      <x:c r="P48" s="22" t="n">
        <x:v>266.1596958174905</x:v>
      </x:c>
      <x:c r="Q48" s="22" t="n">
        <x:v>1473.4600760456274</x:v>
      </x:c>
      <x:c r="R48" s="22" t="n">
        <x:v>0</x:v>
      </x:c>
      <x:c r="S48" s="20"/>
      <x:c r="T48" s="22" t="n">
        <x:v>1473.46</x:v>
      </x:c>
      <x:c r="U48" t="str">
        <x:v>Ödenmedi</x:v>
      </x:c>
    </x:row>
    <x:row r="49">
      <x:c r="A49" s="24" t="n">
        <x:v>46113</x:v>
      </x:c>
      <x:c r="B49" s="24" t="n">
        <x:v>46082</x:v>
      </x:c>
      <x:c r="C49" t="str">
        <x:v>B005-R007</x:v>
      </x:c>
      <x:c r="D49" t="n">
        <x:v>7</x:v>
      </x:c>
      <x:c r="E49" t="str">
        <x:v>Ece Demir</x:v>
      </x:c>
      <x:c r="F49" s="22" t="n">
        <x:v>168.21292775665398</x:v>
      </x:c>
      <x:c r="G49" s="22" t="n">
        <x:v>94.75285171102661</x:v>
      </x:c>
      <x:c r="H49" s="22" t="n">
        <x:v>223.574144486692</x:v>
      </x:c>
      <x:c r="I49" s="22" t="n">
        <x:v>0</x:v>
      </x:c>
      <x:c r="J49" s="22" t="n">
        <x:v>0</x:v>
      </x:c>
      <x:c r="K49" s="22" t="n">
        <x:v>0</x:v>
      </x:c>
      <x:c r="L49" s="22" t="n">
        <x:v>319.39163498098856</x:v>
      </x:c>
      <x:c r="M49" s="22" t="n">
        <x:v>0</x:v>
      </x:c>
      <x:c r="N49" s="22" t="n">
        <x:v>404.56273764258555</x:v>
      </x:c>
      <x:c r="O49" s="22" t="n">
        <x:v>0</x:v>
      </x:c>
      <x:c r="P49" s="22" t="n">
        <x:v>266.1596958174905</x:v>
      </x:c>
      <x:c r="Q49" s="22" t="n">
        <x:v>1476.6539923954372</x:v>
      </x:c>
      <x:c r="R49" s="22" t="n">
        <x:v>1476.65</x:v>
      </x:c>
      <x:c r="S49" s="20" t="n">
        <x:v>46122</x:v>
      </x:c>
      <x:c r="T49" s="22" t="n">
        <x:v>0</x:v>
      </x:c>
      <x:c r="U49" t="str">
        <x:v>Ödendi</x:v>
      </x:c>
    </x:row>
    <x:row r="50">
      <x:c r="A50" s="24" t="n">
        <x:v>46143</x:v>
      </x:c>
      <x:c r="B50" s="24" t="n">
        <x:v>46113</x:v>
      </x:c>
      <x:c r="C50" t="str">
        <x:v>B005-R007</x:v>
      </x:c>
      <x:c r="D50" t="n">
        <x:v>7</x:v>
      </x:c>
      <x:c r="E50" t="str">
        <x:v>Ece Demir</x:v>
      </x:c>
      <x:c r="F50" s="22" t="n">
        <x:v>179.92395437262357</x:v>
      </x:c>
      <x:c r="G50" s="22" t="n">
        <x:v>96.88212927756653</x:v>
      </x:c>
      <x:c r="H50" s="22" t="n">
        <x:v>234.22053231939162</x:v>
      </x:c>
      <x:c r="I50" s="22" t="n">
        <x:v>0</x:v>
      </x:c>
      <x:c r="J50" s="22" t="n">
        <x:v>660.0760456273764</x:v>
      </x:c>
      <x:c r="K50" s="22" t="n">
        <x:v>0</x:v>
      </x:c>
      <x:c r="L50" s="22" t="n">
        <x:v>0</x:v>
      </x:c>
      <x:c r="M50" s="22" t="n">
        <x:v>276.8060836501901</x:v>
      </x:c>
      <x:c r="N50" s="22" t="n">
        <x:v>0</x:v>
      </x:c>
      <x:c r="O50" s="22" t="n">
        <x:v>0</x:v>
      </x:c>
      <x:c r="P50" s="22" t="n">
        <x:v>266.1596958174905</x:v>
      </x:c>
      <x:c r="Q50" s="22" t="n">
        <x:v>1714.0684410646388</x:v>
      </x:c>
      <x:c r="R50" s="22" t="n">
        <x:v>1714.07</x:v>
      </x:c>
      <x:c r="S50" s="20" t="n">
        <x:v>46149</x:v>
      </x:c>
      <x:c r="T50" s="22" t="n">
        <x:v>0</x:v>
      </x:c>
      <x:c r="U50" t="str">
        <x:v>Ödendi</x:v>
      </x:c>
    </x:row>
    <x:row r="51">
      <x:c r="A51" s="24" t="n">
        <x:v>46174</x:v>
      </x:c>
      <x:c r="B51" s="24" t="n">
        <x:v>46143</x:v>
      </x:c>
      <x:c r="C51" t="str">
        <x:v>B005-R007</x:v>
      </x:c>
      <x:c r="D51" t="n">
        <x:v>7</x:v>
      </x:c>
      <x:c r="E51" t="str">
        <x:v>Ece Demir</x:v>
      </x:c>
      <x:c r="F51" s="22" t="n">
        <x:v>192.6996197718631</x:v>
      </x:c>
      <x:c r="G51" s="22" t="n">
        <x:v>104.33460076045627</x:v>
      </x:c>
      <x:c r="H51" s="22" t="n">
        <x:v>234.22053231939162</x:v>
      </x:c>
      <x:c r="I51" s="22" t="n">
        <x:v>383.2699619771863</x:v>
      </x:c>
      <x:c r="J51" s="22" t="n">
        <x:v>0</x:v>
      </x:c>
      <x:c r="K51" s="22" t="n">
        <x:v>0</x:v>
      </x:c>
      <x:c r="L51" s="22" t="n">
        <x:v>319.39163498098856</x:v>
      </x:c>
      <x:c r="M51" s="22" t="n">
        <x:v>0</x:v>
      </x:c>
      <x:c r="N51" s="22" t="n">
        <x:v>0</x:v>
      </x:c>
      <x:c r="O51" s="22" t="n">
        <x:v>0</x:v>
      </x:c>
      <x:c r="P51" s="22" t="n">
        <x:v>266.1596958174905</x:v>
      </x:c>
      <x:c r="Q51" s="22" t="n">
        <x:v>1500.0760456273763</x:v>
      </x:c>
      <x:c r="R51" s="22" t="n">
        <x:v>1500.08</x:v>
      </x:c>
      <x:c r="S51" s="20" t="n">
        <x:v>46183</x:v>
      </x:c>
      <x:c r="T51" s="22" t="n">
        <x:v>0</x:v>
      </x:c>
      <x:c r="U51" t="str">
        <x:v>Ödendi</x:v>
      </x:c>
    </x:row>
    <x:row r="52">
      <x:c r="A52" s="24" t="n">
        <x:v>46204</x:v>
      </x:c>
      <x:c r="B52" s="24" t="n">
        <x:v>46174</x:v>
      </x:c>
      <x:c r="C52" t="str">
        <x:v>B005-R007</x:v>
      </x:c>
      <x:c r="D52" t="n">
        <x:v>7</x:v>
      </x:c>
      <x:c r="E52" t="str">
        <x:v>Ece Demir</x:v>
      </x:c>
      <x:c r="F52" s="22" t="n">
        <x:v>206.53992395437263</x:v>
      </x:c>
      <x:c r="G52" s="22" t="n">
        <x:v>108.59315589353612</x:v>
      </x:c>
      <x:c r="H52" s="22" t="n">
        <x:v>234.22053231939162</x:v>
      </x:c>
      <x:c r="I52" s="22" t="n">
        <x:v>0</x:v>
      </x:c>
      <x:c r="J52" s="22" t="n">
        <x:v>0</x:v>
      </x:c>
      <x:c r="K52" s="22" t="n">
        <x:v>0</x:v>
      </x:c>
      <x:c r="L52" s="22" t="n">
        <x:v>340.6844106463878</x:v>
      </x:c>
      <x:c r="M52" s="22" t="n">
        <x:v>0</x:v>
      </x:c>
      <x:c r="N52" s="22" t="n">
        <x:v>0</x:v>
      </x:c>
      <x:c r="O52" s="22" t="n">
        <x:v>1863.1178707224333</x:v>
      </x:c>
      <x:c r="P52" s="22" t="n">
        <x:v>266.1596958174905</x:v>
      </x:c>
      <x:c r="Q52" s="22" t="n">
        <x:v>3019.315589353612</x:v>
      </x:c>
      <x:c r="R52" s="22" t="n">
        <x:v>3019.32</x:v>
      </x:c>
      <x:c r="S52" s="20" t="n">
        <x:v>46215</x:v>
      </x:c>
      <x:c r="T52" s="22" t="n">
        <x:v>0</x:v>
      </x:c>
      <x:c r="U52" t="str">
        <x:v>Ödendi</x:v>
      </x:c>
    </x:row>
    <x:row r="53">
      <x:c r="A53" s="24" t="n">
        <x:v>46023</x:v>
      </x:c>
      <x:c r="B53" s="24" t="n">
        <x:v>45992</x:v>
      </x:c>
      <x:c r="C53" t="str">
        <x:v>B005-R008</x:v>
      </x:c>
      <x:c r="D53" t="n">
        <x:v>8</x:v>
      </x:c>
      <x:c r="E53" t="str">
        <x:v>Fatma Aksoy</x:v>
      </x:c>
      <x:c r="F53" s="22" t="n">
        <x:v>154.70532319391637</x:v>
      </x:c>
      <x:c r="G53" s="22" t="n">
        <x:v>81.84410646387833</x:v>
      </x:c>
      <x:c r="H53" s="22" t="n">
        <x:v>209.60076045627378</x:v>
      </x:c>
      <x:c r="I53" s="22" t="n">
        <x:v>179.6577946768061</x:v>
      </x:c>
      <x:c r="J53" s="22" t="n">
        <x:v>0</x:v>
      </x:c>
      <x:c r="K53" s="22" t="n">
        <x:v>0</x:v>
      </x:c>
      <x:c r="L53" s="22" t="n">
        <x:v>279.467680608365</x:v>
      </x:c>
      <x:c r="M53" s="22" t="n">
        <x:v>0</x:v>
      </x:c>
      <x:c r="N53" s="22" t="n">
        <x:v>0</x:v>
      </x:c>
      <x:c r="O53" s="22" t="n">
        <x:v>0</x:v>
      </x:c>
      <x:c r="P53" s="22" t="n">
        <x:v>249.52471482889734</x:v>
      </x:c>
      <x:c r="Q53" s="22" t="n">
        <x:v>1154.8003802281369</x:v>
      </x:c>
      <x:c r="R53" s="22" t="n">
        <x:v>1154.8</x:v>
      </x:c>
      <x:c r="S53" s="20" t="n">
        <x:v>46026</x:v>
      </x:c>
      <x:c r="T53" s="22" t="n">
        <x:v>0</x:v>
      </x:c>
      <x:c r="U53" t="str">
        <x:v>Ödendi</x:v>
      </x:c>
    </x:row>
    <x:row r="54">
      <x:c r="A54" s="24" t="n">
        <x:v>46054</x:v>
      </x:c>
      <x:c r="B54" s="24" t="n">
        <x:v>46023</x:v>
      </x:c>
      <x:c r="C54" t="str">
        <x:v>B005-R008</x:v>
      </x:c>
      <x:c r="D54" t="n">
        <x:v>8</x:v>
      </x:c>
      <x:c r="E54" t="str">
        <x:v>Fatma Aksoy</x:v>
      </x:c>
      <x:c r="F54" s="22" t="n">
        <x:v>164.68631178707224</x:v>
      </x:c>
      <x:c r="G54" s="22" t="n">
        <x:v>84.8384030418251</x:v>
      </x:c>
      <x:c r="H54" s="22" t="n">
        <x:v>209.60076045627378</x:v>
      </x:c>
      <x:c r="I54" s="22" t="n">
        <x:v>0</x:v>
      </x:c>
      <x:c r="J54" s="22" t="n">
        <x:v>319.3916349809886</x:v>
      </x:c>
      <x:c r="K54" s="22" t="n">
        <x:v>0</x:v>
      </x:c>
      <x:c r="L54" s="22" t="n">
        <x:v>279.467680608365</x:v>
      </x:c>
      <x:c r="M54" s="22" t="n">
        <x:v>0</x:v>
      </x:c>
      <x:c r="N54" s="22" t="n">
        <x:v>0</x:v>
      </x:c>
      <x:c r="O54" s="22" t="n">
        <x:v>0</x:v>
      </x:c>
      <x:c r="P54" s="22" t="n">
        <x:v>249.52471482889734</x:v>
      </x:c>
      <x:c r="Q54" s="22" t="n">
        <x:v>1307.509505703422</x:v>
      </x:c>
      <x:c r="R54" s="22" t="n">
        <x:v>1307.51</x:v>
      </x:c>
      <x:c r="S54" s="20" t="n">
        <x:v>46057</x:v>
      </x:c>
      <x:c r="T54" s="22" t="n">
        <x:v>0</x:v>
      </x:c>
      <x:c r="U54" t="str">
        <x:v>Ödendi</x:v>
      </x:c>
    </x:row>
    <x:row r="55">
      <x:c r="A55" s="24" t="n">
        <x:v>46082</x:v>
      </x:c>
      <x:c r="B55" s="24" t="n">
        <x:v>46054</x:v>
      </x:c>
      <x:c r="C55" t="str">
        <x:v>B005-R008</x:v>
      </x:c>
      <x:c r="D55" t="n">
        <x:v>8</x:v>
      </x:c>
      <x:c r="E55" t="str">
        <x:v>Fatma Aksoy</x:v>
      </x:c>
      <x:c r="F55" s="22" t="n">
        <x:v>171.67300380228139</x:v>
      </x:c>
      <x:c r="G55" s="22" t="n">
        <x:v>91.82509505703423</x:v>
      </x:c>
      <x:c r="H55" s="22" t="n">
        <x:v>209.60076045627378</x:v>
      </x:c>
      <x:c r="I55" s="22" t="n">
        <x:v>239.54372623574147</x:v>
      </x:c>
      <x:c r="J55" s="22" t="n">
        <x:v>0</x:v>
      </x:c>
      <x:c r="K55" s="22" t="n">
        <x:v>419.20152091254755</x:v>
      </x:c>
      <x:c r="L55" s="22" t="n">
        <x:v>0</x:v>
      </x:c>
      <x:c r="M55" s="22" t="n">
        <x:v>0</x:v>
      </x:c>
      <x:c r="N55" s="22" t="n">
        <x:v>0</x:v>
      </x:c>
      <x:c r="O55" s="22" t="n">
        <x:v>0</x:v>
      </x:c>
      <x:c r="P55" s="22" t="n">
        <x:v>249.52471482889734</x:v>
      </x:c>
      <x:c r="Q55" s="22" t="n">
        <x:v>1381.3688212927757</x:v>
      </x:c>
      <x:c r="R55" s="22" t="n">
        <x:v>1381.37</x:v>
      </x:c>
      <x:c r="S55" s="20" t="n">
        <x:v>46090</x:v>
      </x:c>
      <x:c r="T55" s="22" t="n">
        <x:v>0</x:v>
      </x:c>
      <x:c r="U55" t="str">
        <x:v>Ödendi</x:v>
      </x:c>
    </x:row>
    <x:row r="56">
      <x:c r="A56" s="24" t="n">
        <x:v>46113</x:v>
      </x:c>
      <x:c r="B56" s="24" t="n">
        <x:v>46082</x:v>
      </x:c>
      <x:c r="C56" t="str">
        <x:v>B005-R008</x:v>
      </x:c>
      <x:c r="D56" t="n">
        <x:v>8</x:v>
      </x:c>
      <x:c r="E56" t="str">
        <x:v>Fatma Aksoy</x:v>
      </x:c>
      <x:c r="F56" s="22" t="n">
        <x:v>157.69961977186313</x:v>
      </x:c>
      <x:c r="G56" s="22" t="n">
        <x:v>88.83079847908746</x:v>
      </x:c>
      <x:c r="H56" s="22" t="n">
        <x:v>209.60076045627378</x:v>
      </x:c>
      <x:c r="I56" s="22" t="n">
        <x:v>0</x:v>
      </x:c>
      <x:c r="J56" s="22" t="n">
        <x:v>0</x:v>
      </x:c>
      <x:c r="K56" s="22" t="n">
        <x:v>0</x:v>
      </x:c>
      <x:c r="L56" s="22" t="n">
        <x:v>299.4296577946768</x:v>
      </x:c>
      <x:c r="M56" s="22" t="n">
        <x:v>0</x:v>
      </x:c>
      <x:c r="N56" s="22" t="n">
        <x:v>379.27756653992395</x:v>
      </x:c>
      <x:c r="O56" s="22" t="n">
        <x:v>0</x:v>
      </x:c>
      <x:c r="P56" s="22" t="n">
        <x:v>249.52471482889734</x:v>
      </x:c>
      <x:c r="Q56" s="22" t="n">
        <x:v>1384.3631178707224</x:v>
      </x:c>
      <x:c r="R56" s="22" t="n">
        <x:v>1384.36</x:v>
      </x:c>
      <x:c r="S56" s="20" t="n">
        <x:v>46121</x:v>
      </x:c>
      <x:c r="T56" s="22" t="n">
        <x:v>0</x:v>
      </x:c>
      <x:c r="U56" t="str">
        <x:v>Ödendi</x:v>
      </x:c>
    </x:row>
    <x:row r="57">
      <x:c r="A57" s="24" t="n">
        <x:v>46143</x:v>
      </x:c>
      <x:c r="B57" s="24" t="n">
        <x:v>46113</x:v>
      </x:c>
      <x:c r="C57" t="str">
        <x:v>B005-R008</x:v>
      </x:c>
      <x:c r="D57" t="n">
        <x:v>8</x:v>
      </x:c>
      <x:c r="E57" t="str">
        <x:v>Fatma Aksoy</x:v>
      </x:c>
      <x:c r="F57" s="22" t="n">
        <x:v>168.6787072243346</x:v>
      </x:c>
      <x:c r="G57" s="22" t="n">
        <x:v>90.82699619771864</x:v>
      </x:c>
      <x:c r="H57" s="22" t="n">
        <x:v>219.58174904942967</x:v>
      </x:c>
      <x:c r="I57" s="22" t="n">
        <x:v>0</x:v>
      </x:c>
      <x:c r="J57" s="22" t="n">
        <x:v>618.8212927756655</x:v>
      </x:c>
      <x:c r="K57" s="22" t="n">
        <x:v>0</x:v>
      </x:c>
      <x:c r="L57" s="22" t="n">
        <x:v>0</x:v>
      </x:c>
      <x:c r="M57" s="22" t="n">
        <x:v>259.5057034220533</x:v>
      </x:c>
      <x:c r="N57" s="22" t="n">
        <x:v>0</x:v>
      </x:c>
      <x:c r="O57" s="22" t="n">
        <x:v>0</x:v>
      </x:c>
      <x:c r="P57" s="22" t="n">
        <x:v>249.52471482889734</x:v>
      </x:c>
      <x:c r="Q57" s="22" t="n">
        <x:v>1606.939163498099</x:v>
      </x:c>
      <x:c r="R57" s="22" t="n">
        <x:v>1606.94</x:v>
      </x:c>
      <x:c r="S57" s="20" t="n">
        <x:v>46153</x:v>
      </x:c>
      <x:c r="T57" s="22" t="n">
        <x:v>0</x:v>
      </x:c>
      <x:c r="U57" t="str">
        <x:v>Ödendi</x:v>
      </x:c>
    </x:row>
    <x:row r="58">
      <x:c r="A58" s="24" t="n">
        <x:v>46174</x:v>
      </x:c>
      <x:c r="B58" s="24" t="n">
        <x:v>46143</x:v>
      </x:c>
      <x:c r="C58" t="str">
        <x:v>B005-R008</x:v>
      </x:c>
      <x:c r="D58" t="n">
        <x:v>8</x:v>
      </x:c>
      <x:c r="E58" t="str">
        <x:v>Fatma Aksoy</x:v>
      </x:c>
      <x:c r="F58" s="22" t="n">
        <x:v>180.65589353612168</x:v>
      </x:c>
      <x:c r="G58" s="22" t="n">
        <x:v>97.81368821292776</x:v>
      </x:c>
      <x:c r="H58" s="22" t="n">
        <x:v>219.58174904942967</x:v>
      </x:c>
      <x:c r="I58" s="22" t="n">
        <x:v>359.3155893536122</x:v>
      </x:c>
      <x:c r="J58" s="22" t="n">
        <x:v>0</x:v>
      </x:c>
      <x:c r="K58" s="22" t="n">
        <x:v>0</x:v>
      </x:c>
      <x:c r="L58" s="22" t="n">
        <x:v>299.4296577946768</x:v>
      </x:c>
      <x:c r="M58" s="22" t="n">
        <x:v>0</x:v>
      </x:c>
      <x:c r="N58" s="22" t="n">
        <x:v>0</x:v>
      </x:c>
      <x:c r="O58" s="22" t="n">
        <x:v>0</x:v>
      </x:c>
      <x:c r="P58" s="22" t="n">
        <x:v>249.52471482889734</x:v>
      </x:c>
      <x:c r="Q58" s="22" t="n">
        <x:v>1406.3212927756654</x:v>
      </x:c>
      <x:c r="R58" s="22" t="n">
        <x:v>1406.32</x:v>
      </x:c>
      <x:c r="S58" s="20" t="n">
        <x:v>46186</x:v>
      </x:c>
      <x:c r="T58" s="22" t="n">
        <x:v>0</x:v>
      </x:c>
      <x:c r="U58" t="str">
        <x:v>Ödendi</x:v>
      </x:c>
    </x:row>
    <x:row r="59">
      <x:c r="A59" s="24" t="n">
        <x:v>46204</x:v>
      </x:c>
      <x:c r="B59" s="24" t="n">
        <x:v>46174</x:v>
      </x:c>
      <x:c r="C59" t="str">
        <x:v>B005-R008</x:v>
      </x:c>
      <x:c r="D59" t="n">
        <x:v>8</x:v>
      </x:c>
      <x:c r="E59" t="str">
        <x:v>Fatma Aksoy</x:v>
      </x:c>
      <x:c r="F59" s="22" t="n">
        <x:v>193.63117870722434</x:v>
      </x:c>
      <x:c r="G59" s="22" t="n">
        <x:v>101.80608365019012</x:v>
      </x:c>
      <x:c r="H59" s="22" t="n">
        <x:v>219.58174904942967</x:v>
      </x:c>
      <x:c r="I59" s="22" t="n">
        <x:v>0</x:v>
      </x:c>
      <x:c r="J59" s="22" t="n">
        <x:v>0</x:v>
      </x:c>
      <x:c r="K59" s="22" t="n">
        <x:v>0</x:v>
      </x:c>
      <x:c r="L59" s="22" t="n">
        <x:v>319.3916349809886</x:v>
      </x:c>
      <x:c r="M59" s="22" t="n">
        <x:v>0</x:v>
      </x:c>
      <x:c r="N59" s="22" t="n">
        <x:v>0</x:v>
      </x:c>
      <x:c r="O59" s="22" t="n">
        <x:v>1746.6730038022815</x:v>
      </x:c>
      <x:c r="P59" s="22" t="n">
        <x:v>249.52471482889734</x:v>
      </x:c>
      <x:c r="Q59" s="22" t="n">
        <x:v>2830.6083650190117</x:v>
      </x:c>
      <x:c r="R59" s="22" t="n">
        <x:v>2830.61</x:v>
      </x:c>
      <x:c r="S59" s="20" t="n">
        <x:v>46213</x:v>
      </x:c>
      <x:c r="T59" s="22" t="n">
        <x:v>0</x:v>
      </x:c>
      <x:c r="U59" t="str">
        <x:v>Ödendi</x:v>
      </x:c>
    </x:row>
    <x:row r="60">
      <x:c r="A60" s="24" t="n">
        <x:v>46023</x:v>
      </x:c>
      <x:c r="B60" s="24" t="n">
        <x:v>45992</x:v>
      </x:c>
      <x:c r="C60" t="str">
        <x:v>B005-R009</x:v>
      </x:c>
      <x:c r="D60" t="n">
        <x:v>9</x:v>
      </x:c>
      <x:c r="E60" t="str">
        <x:v>Kerem Tekin</x:v>
      </x:c>
      <x:c r="F60" s="22" t="n">
        <x:v>213.6406844106464</x:v>
      </x:c>
      <x:c r="G60" s="22" t="n">
        <x:v>113.02281368821293</x:v>
      </x:c>
      <x:c r="H60" s="22" t="n">
        <x:v>289.44866920152094</x:v>
      </x:c>
      <x:c r="I60" s="22" t="n">
        <x:v>248.09885931558938</x:v>
      </x:c>
      <x:c r="J60" s="22" t="n">
        <x:v>0</x:v>
      </x:c>
      <x:c r="K60" s="22" t="n">
        <x:v>0</x:v>
      </x:c>
      <x:c r="L60" s="22" t="n">
        <x:v>385.93155893536124</x:v>
      </x:c>
      <x:c r="M60" s="22" t="n">
        <x:v>0</x:v>
      </x:c>
      <x:c r="N60" s="22" t="n">
        <x:v>0</x:v>
      </x:c>
      <x:c r="O60" s="22" t="n">
        <x:v>0</x:v>
      </x:c>
      <x:c r="P60" s="22" t="n">
        <x:v>344.5817490494297</x:v>
      </x:c>
      <x:c r="Q60" s="22" t="n">
        <x:v>1594.7243346007606</x:v>
      </x:c>
      <x:c r="R60" s="22" t="n">
        <x:v>1594.72</x:v>
      </x:c>
      <x:c r="S60" s="20" t="n">
        <x:v>46030</x:v>
      </x:c>
      <x:c r="T60" s="22" t="n">
        <x:v>0</x:v>
      </x:c>
      <x:c r="U60" t="str">
        <x:v>Ödendi</x:v>
      </x:c>
    </x:row>
    <x:row r="61">
      <x:c r="A61" s="24" t="n">
        <x:v>46054</x:v>
      </x:c>
      <x:c r="B61" s="24" t="n">
        <x:v>46023</x:v>
      </x:c>
      <x:c r="C61" t="str">
        <x:v>B005-R009</x:v>
      </x:c>
      <x:c r="D61" t="n">
        <x:v>9</x:v>
      </x:c>
      <x:c r="E61" t="str">
        <x:v>Kerem Tekin</x:v>
      </x:c>
      <x:c r="F61" s="22" t="n">
        <x:v>227.4239543726236</x:v>
      </x:c>
      <x:c r="G61" s="22" t="n">
        <x:v>117.15779467680609</x:v>
      </x:c>
      <x:c r="H61" s="22" t="n">
        <x:v>289.44866920152094</x:v>
      </x:c>
      <x:c r="I61" s="22" t="n">
        <x:v>0</x:v>
      </x:c>
      <x:c r="J61" s="22" t="n">
        <x:v>441.06463878327</x:v>
      </x:c>
      <x:c r="K61" s="22" t="n">
        <x:v>0</x:v>
      </x:c>
      <x:c r="L61" s="22" t="n">
        <x:v>385.93155893536124</x:v>
      </x:c>
      <x:c r="M61" s="22" t="n">
        <x:v>0</x:v>
      </x:c>
      <x:c r="N61" s="22" t="n">
        <x:v>0</x:v>
      </x:c>
      <x:c r="O61" s="22" t="n">
        <x:v>0</x:v>
      </x:c>
      <x:c r="P61" s="22" t="n">
        <x:v>344.5817490494297</x:v>
      </x:c>
      <x:c r="Q61" s="22" t="n">
        <x:v>1805.6083650190117</x:v>
      </x:c>
      <x:c r="R61" s="22" t="n">
        <x:v>1805.61</x:v>
      </x:c>
      <x:c r="S61" s="20" t="n">
        <x:v>46065</x:v>
      </x:c>
      <x:c r="T61" s="22" t="n">
        <x:v>0</x:v>
      </x:c>
      <x:c r="U61" t="str">
        <x:v>Ödendi</x:v>
      </x:c>
    </x:row>
    <x:row r="62">
      <x:c r="A62" s="24" t="n">
        <x:v>46082</x:v>
      </x:c>
      <x:c r="B62" s="24" t="n">
        <x:v>46054</x:v>
      </x:c>
      <x:c r="C62" t="str">
        <x:v>B005-R009</x:v>
      </x:c>
      <x:c r="D62" t="n">
        <x:v>9</x:v>
      </x:c>
      <x:c r="E62" t="str">
        <x:v>Kerem Tekin</x:v>
      </x:c>
      <x:c r="F62" s="22" t="n">
        <x:v>237.07224334600764</x:v>
      </x:c>
      <x:c r="G62" s="22" t="n">
        <x:v>126.80608365019013</x:v>
      </x:c>
      <x:c r="H62" s="22" t="n">
        <x:v>289.44866920152094</x:v>
      </x:c>
      <x:c r="I62" s="22" t="n">
        <x:v>330.7984790874525</x:v>
      </x:c>
      <x:c r="J62" s="22" t="n">
        <x:v>0</x:v>
      </x:c>
      <x:c r="K62" s="22" t="n">
        <x:v>578.8973384030419</x:v>
      </x:c>
      <x:c r="L62" s="22" t="n">
        <x:v>0</x:v>
      </x:c>
      <x:c r="M62" s="22" t="n">
        <x:v>0</x:v>
      </x:c>
      <x:c r="N62" s="22" t="n">
        <x:v>0</x:v>
      </x:c>
      <x:c r="O62" s="22" t="n">
        <x:v>0</x:v>
      </x:c>
      <x:c r="P62" s="22" t="n">
        <x:v>344.5817490494297</x:v>
      </x:c>
      <x:c r="Q62" s="22" t="n">
        <x:v>1907.6045627376427</x:v>
      </x:c>
      <x:c r="R62" s="22" t="n">
        <x:v>1907.6</x:v>
      </x:c>
      <x:c r="S62" s="20" t="n">
        <x:v>46086</x:v>
      </x:c>
      <x:c r="T62" s="22" t="n">
        <x:v>0</x:v>
      </x:c>
      <x:c r="U62" t="str">
        <x:v>Ödendi</x:v>
      </x:c>
    </x:row>
    <x:row r="63">
      <x:c r="A63" s="24" t="n">
        <x:v>46113</x:v>
      </x:c>
      <x:c r="B63" s="24" t="n">
        <x:v>46082</x:v>
      </x:c>
      <x:c r="C63" t="str">
        <x:v>B005-R009</x:v>
      </x:c>
      <x:c r="D63" t="n">
        <x:v>9</x:v>
      </x:c>
      <x:c r="E63" t="str">
        <x:v>Kerem Tekin</x:v>
      </x:c>
      <x:c r="F63" s="22" t="n">
        <x:v>217.77566539923956</x:v>
      </x:c>
      <x:c r="G63" s="22" t="n">
        <x:v>122.67110266159698</x:v>
      </x:c>
      <x:c r="H63" s="22" t="n">
        <x:v>289.44866920152094</x:v>
      </x:c>
      <x:c r="I63" s="22" t="n">
        <x:v>0</x:v>
      </x:c>
      <x:c r="J63" s="22" t="n">
        <x:v>0</x:v>
      </x:c>
      <x:c r="K63" s="22" t="n">
        <x:v>0</x:v>
      </x:c>
      <x:c r="L63" s="22" t="n">
        <x:v>413.49809885931563</x:v>
      </x:c>
      <x:c r="M63" s="22" t="n">
        <x:v>0</x:v>
      </x:c>
      <x:c r="N63" s="22" t="n">
        <x:v>523.7642585551331</x:v>
      </x:c>
      <x:c r="O63" s="22" t="n">
        <x:v>0</x:v>
      </x:c>
      <x:c r="P63" s="22" t="n">
        <x:v>344.5817490494297</x:v>
      </x:c>
      <x:c r="Q63" s="22" t="n">
        <x:v>1911.739543726236</x:v>
      </x:c>
      <x:c r="R63" s="22" t="n">
        <x:v>1911.74</x:v>
      </x:c>
      <x:c r="S63" s="20" t="n">
        <x:v>46125</x:v>
      </x:c>
      <x:c r="T63" s="22" t="n">
        <x:v>0</x:v>
      </x:c>
      <x:c r="U63" t="str">
        <x:v>Ödendi</x:v>
      </x:c>
    </x:row>
    <x:row r="64">
      <x:c r="A64" s="24" t="n">
        <x:v>46143</x:v>
      </x:c>
      <x:c r="B64" s="24" t="n">
        <x:v>46113</x:v>
      </x:c>
      <x:c r="C64" t="str">
        <x:v>B005-R009</x:v>
      </x:c>
      <x:c r="D64" t="n">
        <x:v>9</x:v>
      </x:c>
      <x:c r="E64" t="str">
        <x:v>Kerem Tekin</x:v>
      </x:c>
      <x:c r="F64" s="22" t="n">
        <x:v>232.93726235741448</x:v>
      </x:c>
      <x:c r="G64" s="22" t="n">
        <x:v>125.4277566539924</x:v>
      </x:c>
      <x:c r="H64" s="22" t="n">
        <x:v>303.2319391634981</x:v>
      </x:c>
      <x:c r="I64" s="22" t="n">
        <x:v>0</x:v>
      </x:c>
      <x:c r="J64" s="22" t="n">
        <x:v>854.5627376425856</x:v>
      </x:c>
      <x:c r="K64" s="22" t="n">
        <x:v>0</x:v>
      </x:c>
      <x:c r="L64" s="22" t="n">
        <x:v>0</x:v>
      </x:c>
      <x:c r="M64" s="22" t="n">
        <x:v>358.3650190114069</x:v>
      </x:c>
      <x:c r="N64" s="22" t="n">
        <x:v>0</x:v>
      </x:c>
      <x:c r="O64" s="22" t="n">
        <x:v>0</x:v>
      </x:c>
      <x:c r="P64" s="22" t="n">
        <x:v>344.5817490494297</x:v>
      </x:c>
      <x:c r="Q64" s="22" t="n">
        <x:v>2219.1064638783273</x:v>
      </x:c>
      <x:c r="R64" s="22" t="n">
        <x:v>2219.11</x:v>
      </x:c>
      <x:c r="S64" s="20" t="n">
        <x:v>46155</x:v>
      </x:c>
      <x:c r="T64" s="22" t="n">
        <x:v>0</x:v>
      </x:c>
      <x:c r="U64" t="str">
        <x:v>Ödendi</x:v>
      </x:c>
    </x:row>
    <x:row r="65">
      <x:c r="A65" s="24" t="n">
        <x:v>46174</x:v>
      </x:c>
      <x:c r="B65" s="24" t="n">
        <x:v>46143</x:v>
      </x:c>
      <x:c r="C65" t="str">
        <x:v>B005-R009</x:v>
      </x:c>
      <x:c r="D65" t="n">
        <x:v>9</x:v>
      </x:c>
      <x:c r="E65" t="str">
        <x:v>Kerem Tekin</x:v>
      </x:c>
      <x:c r="F65" s="22" t="n">
        <x:v>249.4771863117871</x:v>
      </x:c>
      <x:c r="G65" s="22" t="n">
        <x:v>135.07604562737643</x:v>
      </x:c>
      <x:c r="H65" s="22" t="n">
        <x:v>303.2319391634981</x:v>
      </x:c>
      <x:c r="I65" s="22" t="n">
        <x:v>496.19771863117876</x:v>
      </x:c>
      <x:c r="J65" s="22" t="n">
        <x:v>0</x:v>
      </x:c>
      <x:c r="K65" s="22" t="n">
        <x:v>0</x:v>
      </x:c>
      <x:c r="L65" s="22" t="n">
        <x:v>413.49809885931563</x:v>
      </x:c>
      <x:c r="M65" s="22" t="n">
        <x:v>0</x:v>
      </x:c>
      <x:c r="N65" s="22" t="n">
        <x:v>0</x:v>
      </x:c>
      <x:c r="O65" s="22" t="n">
        <x:v>0</x:v>
      </x:c>
      <x:c r="P65" s="22" t="n">
        <x:v>344.5817490494297</x:v>
      </x:c>
      <x:c r="Q65" s="22" t="n">
        <x:v>1942.0627376425857</x:v>
      </x:c>
      <x:c r="R65" s="22" t="n">
        <x:v>1942.06</x:v>
      </x:c>
      <x:c r="S65" s="20" t="n">
        <x:v>46179</x:v>
      </x:c>
      <x:c r="T65" s="22" t="n">
        <x:v>0</x:v>
      </x:c>
      <x:c r="U65" t="str">
        <x:v>Ödendi</x:v>
      </x:c>
    </x:row>
    <x:row r="66">
      <x:c r="A66" s="24" t="n">
        <x:v>46204</x:v>
      </x:c>
      <x:c r="B66" s="24" t="n">
        <x:v>46174</x:v>
      </x:c>
      <x:c r="C66" t="str">
        <x:v>B005-R009</x:v>
      </x:c>
      <x:c r="D66" t="n">
        <x:v>9</x:v>
      </x:c>
      <x:c r="E66" t="str">
        <x:v>Kerem Tekin</x:v>
      </x:c>
      <x:c r="F66" s="22" t="n">
        <x:v>267.39543726235746</x:v>
      </x:c>
      <x:c r="G66" s="22" t="n">
        <x:v>140.58935361216732</x:v>
      </x:c>
      <x:c r="H66" s="22" t="n">
        <x:v>303.2319391634981</x:v>
      </x:c>
      <x:c r="I66" s="22" t="n">
        <x:v>0</x:v>
      </x:c>
      <x:c r="J66" s="22" t="n">
        <x:v>0</x:v>
      </x:c>
      <x:c r="K66" s="22" t="n">
        <x:v>0</x:v>
      </x:c>
      <x:c r="L66" s="22" t="n">
        <x:v>441.06463878327</x:v>
      </x:c>
      <x:c r="M66" s="22" t="n">
        <x:v>0</x:v>
      </x:c>
      <x:c r="N66" s="22" t="n">
        <x:v>0</x:v>
      </x:c>
      <x:c r="O66" s="22" t="n">
        <x:v>2412.072243346008</x:v>
      </x:c>
      <x:c r="P66" s="22" t="n">
        <x:v>344.5817490494297</x:v>
      </x:c>
      <x:c r="Q66" s="22" t="n">
        <x:v>3908.9353612167306</x:v>
      </x:c>
      <x:c r="R66" s="22" t="n">
        <x:v>0</x:v>
      </x:c>
      <x:c r="S66" s="20"/>
      <x:c r="T66" s="22" t="n">
        <x:v>3908.94</x:v>
      </x:c>
      <x:c r="U66" t="str">
        <x:v>Ödenmedi</x:v>
      </x:c>
    </x:row>
    <x:row r="67">
      <x:c r="A67" s="24" t="n">
        <x:v>46023</x:v>
      </x:c>
      <x:c r="B67" s="24" t="n">
        <x:v>45992</x:v>
      </x:c>
      <x:c r="C67" t="str">
        <x:v>B005-R010</x:v>
      </x:c>
      <x:c r="D67" t="n">
        <x:v>10</x:v>
      </x:c>
      <x:c r="E67" t="str">
        <x:v>Selin Doğan</x:v>
      </x:c>
      <x:c r="F67" s="22" t="n">
        <x:v>194.48669201520912</x:v>
      </x:c>
      <x:c r="G67" s="22" t="n">
        <x:v>102.88973384030417</x:v>
      </x:c>
      <x:c r="H67" s="22" t="n">
        <x:v>263.4980988593156</x:v>
      </x:c>
      <x:c r="I67" s="22" t="n">
        <x:v>225.85551330798478</x:v>
      </x:c>
      <x:c r="J67" s="22" t="n">
        <x:v>0</x:v>
      </x:c>
      <x:c r="K67" s="22" t="n">
        <x:v>0</x:v>
      </x:c>
      <x:c r="L67" s="22" t="n">
        <x:v>351.33079847908743</x:v>
      </x:c>
      <x:c r="M67" s="22" t="n">
        <x:v>0</x:v>
      </x:c>
      <x:c r="N67" s="22" t="n">
        <x:v>0</x:v>
      </x:c>
      <x:c r="O67" s="22" t="n">
        <x:v>0</x:v>
      </x:c>
      <x:c r="P67" s="22" t="n">
        <x:v>313.68821292775664</x:v>
      </x:c>
      <x:c r="Q67" s="22" t="n">
        <x:v>1451.7490494296578</x:v>
      </x:c>
      <x:c r="R67" s="22" t="n">
        <x:v>1451.75</x:v>
      </x:c>
      <x:c r="S67" s="20" t="n">
        <x:v>46035</x:v>
      </x:c>
      <x:c r="T67" s="22" t="n">
        <x:v>0</x:v>
      </x:c>
      <x:c r="U67" t="str">
        <x:v>Ödendi</x:v>
      </x:c>
    </x:row>
    <x:row r="68">
      <x:c r="A68" s="24" t="n">
        <x:v>46054</x:v>
      </x:c>
      <x:c r="B68" s="24" t="n">
        <x:v>46023</x:v>
      </x:c>
      <x:c r="C68" t="str">
        <x:v>B005-R010</x:v>
      </x:c>
      <x:c r="D68" t="n">
        <x:v>10</x:v>
      </x:c>
      <x:c r="E68" t="str">
        <x:v>Selin Doğan</x:v>
      </x:c>
      <x:c r="F68" s="22" t="n">
        <x:v>207.03422053231938</x:v>
      </x:c>
      <x:c r="G68" s="22" t="n">
        <x:v>106.65399239543726</x:v>
      </x:c>
      <x:c r="H68" s="22" t="n">
        <x:v>263.4980988593156</x:v>
      </x:c>
      <x:c r="I68" s="22" t="n">
        <x:v>0</x:v>
      </x:c>
      <x:c r="J68" s="22" t="n">
        <x:v>401.5209125475285</x:v>
      </x:c>
      <x:c r="K68" s="22" t="n">
        <x:v>0</x:v>
      </x:c>
      <x:c r="L68" s="22" t="n">
        <x:v>351.33079847908743</x:v>
      </x:c>
      <x:c r="M68" s="22" t="n">
        <x:v>0</x:v>
      </x:c>
      <x:c r="N68" s="22" t="n">
        <x:v>0</x:v>
      </x:c>
      <x:c r="O68" s="22" t="n">
        <x:v>0</x:v>
      </x:c>
      <x:c r="P68" s="22" t="n">
        <x:v>313.68821292775664</x:v>
      </x:c>
      <x:c r="Q68" s="22" t="n">
        <x:v>1643.7262357414447</x:v>
      </x:c>
      <x:c r="R68" s="22" t="n">
        <x:v>1643.73</x:v>
      </x:c>
      <x:c r="S68" s="20" t="n">
        <x:v>46065</x:v>
      </x:c>
      <x:c r="T68" s="22" t="n">
        <x:v>0</x:v>
      </x:c>
      <x:c r="U68" t="str">
        <x:v>Ödendi</x:v>
      </x:c>
    </x:row>
    <x:row r="69">
      <x:c r="A69" s="24" t="n">
        <x:v>46082</x:v>
      </x:c>
      <x:c r="B69" s="24" t="n">
        <x:v>46054</x:v>
      </x:c>
      <x:c r="C69" t="str">
        <x:v>B005-R010</x:v>
      </x:c>
      <x:c r="D69" t="n">
        <x:v>10</x:v>
      </x:c>
      <x:c r="E69" t="str">
        <x:v>Selin Doğan</x:v>
      </x:c>
      <x:c r="F69" s="22" t="n">
        <x:v>215.81749049429655</x:v>
      </x:c>
      <x:c r="G69" s="22" t="n">
        <x:v>115.43726235741444</x:v>
      </x:c>
      <x:c r="H69" s="22" t="n">
        <x:v>263.4980988593156</x:v>
      </x:c>
      <x:c r="I69" s="22" t="n">
        <x:v>301.1406844106464</x:v>
      </x:c>
      <x:c r="J69" s="22" t="n">
        <x:v>0</x:v>
      </x:c>
      <x:c r="K69" s="22" t="n">
        <x:v>526.9961977186312</x:v>
      </x:c>
      <x:c r="L69" s="22" t="n">
        <x:v>0</x:v>
      </x:c>
      <x:c r="M69" s="22" t="n">
        <x:v>0</x:v>
      </x:c>
      <x:c r="N69" s="22" t="n">
        <x:v>0</x:v>
      </x:c>
      <x:c r="O69" s="22" t="n">
        <x:v>0</x:v>
      </x:c>
      <x:c r="P69" s="22" t="n">
        <x:v>313.68821292775664</x:v>
      </x:c>
      <x:c r="Q69" s="22" t="n">
        <x:v>1736.5779467680607</x:v>
      </x:c>
      <x:c r="R69" s="22" t="n">
        <x:v>0</x:v>
      </x:c>
      <x:c r="S69" s="20"/>
      <x:c r="T69" s="22" t="n">
        <x:v>1736.58</x:v>
      </x:c>
      <x:c r="U69" t="str">
        <x:v>Ödenmedi</x:v>
      </x:c>
    </x:row>
    <x:row r="70">
      <x:c r="A70" s="24" t="n">
        <x:v>46113</x:v>
      </x:c>
      <x:c r="B70" s="24" t="n">
        <x:v>46082</x:v>
      </x:c>
      <x:c r="C70" t="str">
        <x:v>B005-R010</x:v>
      </x:c>
      <x:c r="D70" t="n">
        <x:v>10</x:v>
      </x:c>
      <x:c r="E70" t="str">
        <x:v>Selin Doğan</x:v>
      </x:c>
      <x:c r="F70" s="22" t="n">
        <x:v>198.25095057034218</x:v>
      </x:c>
      <x:c r="G70" s="22" t="n">
        <x:v>111.67300380228136</x:v>
      </x:c>
      <x:c r="H70" s="22" t="n">
        <x:v>263.4980988593156</x:v>
      </x:c>
      <x:c r="I70" s="22" t="n">
        <x:v>0</x:v>
      </x:c>
      <x:c r="J70" s="22" t="n">
        <x:v>0</x:v>
      </x:c>
      <x:c r="K70" s="22" t="n">
        <x:v>0</x:v>
      </x:c>
      <x:c r="L70" s="22" t="n">
        <x:v>376.42585551330797</x:v>
      </x:c>
      <x:c r="M70" s="22" t="n">
        <x:v>0</x:v>
      </x:c>
      <x:c r="N70" s="22" t="n">
        <x:v>476.8060836501901</x:v>
      </x:c>
      <x:c r="O70" s="22" t="n">
        <x:v>0</x:v>
      </x:c>
      <x:c r="P70" s="22" t="n">
        <x:v>313.68821292775664</x:v>
      </x:c>
      <x:c r="Q70" s="22" t="n">
        <x:v>1740.3422053231939</x:v>
      </x:c>
      <x:c r="R70" s="22" t="n">
        <x:v>1740.34</x:v>
      </x:c>
      <x:c r="S70" s="20" t="n">
        <x:v>46122</x:v>
      </x:c>
      <x:c r="T70" s="22" t="n">
        <x:v>0</x:v>
      </x:c>
      <x:c r="U70" t="str">
        <x:v>Ödendi</x:v>
      </x:c>
    </x:row>
    <x:row r="71">
      <x:c r="A71" s="24" t="n">
        <x:v>46143</x:v>
      </x:c>
      <x:c r="B71" s="24" t="n">
        <x:v>46113</x:v>
      </x:c>
      <x:c r="C71" t="str">
        <x:v>B005-R010</x:v>
      </x:c>
      <x:c r="D71" t="n">
        <x:v>10</x:v>
      </x:c>
      <x:c r="E71" t="str">
        <x:v>Selin Doğan</x:v>
      </x:c>
      <x:c r="F71" s="22" t="n">
        <x:v>212.05323193916348</x:v>
      </x:c>
      <x:c r="G71" s="22" t="n">
        <x:v>114.18250950570341</x:v>
      </x:c>
      <x:c r="H71" s="22" t="n">
        <x:v>276.04562737642584</x:v>
      </x:c>
      <x:c r="I71" s="22" t="n">
        <x:v>0</x:v>
      </x:c>
      <x:c r="J71" s="22" t="n">
        <x:v>777.9467680608365</x:v>
      </x:c>
      <x:c r="K71" s="22" t="n">
        <x:v>0</x:v>
      </x:c>
      <x:c r="L71" s="22" t="n">
        <x:v>0</x:v>
      </x:c>
      <x:c r="M71" s="22" t="n">
        <x:v>326.2357414448669</x:v>
      </x:c>
      <x:c r="N71" s="22" t="n">
        <x:v>0</x:v>
      </x:c>
      <x:c r="O71" s="22" t="n">
        <x:v>0</x:v>
      </x:c>
      <x:c r="P71" s="22" t="n">
        <x:v>313.68821292775664</x:v>
      </x:c>
      <x:c r="Q71" s="22" t="n">
        <x:v>2020.1520912547528</x:v>
      </x:c>
      <x:c r="R71" s="22" t="n">
        <x:v>2020.15</x:v>
      </x:c>
      <x:c r="S71" s="20" t="n">
        <x:v>46150</x:v>
      </x:c>
      <x:c r="T71" s="22" t="n">
        <x:v>0</x:v>
      </x:c>
      <x:c r="U71" t="str">
        <x:v>Ödendi</x:v>
      </x:c>
    </x:row>
    <x:row r="72">
      <x:c r="A72" s="24" t="n">
        <x:v>46174</x:v>
      </x:c>
      <x:c r="B72" s="24" t="n">
        <x:v>46143</x:v>
      </x:c>
      <x:c r="C72" t="str">
        <x:v>B005-R010</x:v>
      </x:c>
      <x:c r="D72" t="n">
        <x:v>10</x:v>
      </x:c>
      <x:c r="E72" t="str">
        <x:v>Selin Doğan</x:v>
      </x:c>
      <x:c r="F72" s="22" t="n">
        <x:v>227.1102661596958</x:v>
      </x:c>
      <x:c r="G72" s="22" t="n">
        <x:v>122.9657794676806</x:v>
      </x:c>
      <x:c r="H72" s="22" t="n">
        <x:v>276.04562737642584</x:v>
      </x:c>
      <x:c r="I72" s="22" t="n">
        <x:v>451.71102661596956</x:v>
      </x:c>
      <x:c r="J72" s="22" t="n">
        <x:v>0</x:v>
      </x:c>
      <x:c r="K72" s="22" t="n">
        <x:v>0</x:v>
      </x:c>
      <x:c r="L72" s="22" t="n">
        <x:v>376.42585551330797</x:v>
      </x:c>
      <x:c r="M72" s="22" t="n">
        <x:v>0</x:v>
      </x:c>
      <x:c r="N72" s="22" t="n">
        <x:v>0</x:v>
      </x:c>
      <x:c r="O72" s="22" t="n">
        <x:v>0</x:v>
      </x:c>
      <x:c r="P72" s="22" t="n">
        <x:v>313.68821292775664</x:v>
      </x:c>
      <x:c r="Q72" s="22" t="n">
        <x:v>1767.9467680608363</x:v>
      </x:c>
      <x:c r="R72" s="22" t="n">
        <x:v>1767.95</x:v>
      </x:c>
      <x:c r="S72" s="20" t="n">
        <x:v>46183</x:v>
      </x:c>
      <x:c r="T72" s="22" t="n">
        <x:v>0</x:v>
      </x:c>
      <x:c r="U72" t="str">
        <x:v>Ödendi</x:v>
      </x:c>
    </x:row>
    <x:row r="73">
      <x:c r="A73" s="24" t="n">
        <x:v>46204</x:v>
      </x:c>
      <x:c r="B73" s="24" t="n">
        <x:v>46174</x:v>
      </x:c>
      <x:c r="C73" t="str">
        <x:v>B005-R010</x:v>
      </x:c>
      <x:c r="D73" t="n">
        <x:v>10</x:v>
      </x:c>
      <x:c r="E73" t="str">
        <x:v>Selin Doğan</x:v>
      </x:c>
      <x:c r="F73" s="22" t="n">
        <x:v>243.42205323193915</x:v>
      </x:c>
      <x:c r="G73" s="22" t="n">
        <x:v>127.9847908745247</x:v>
      </x:c>
      <x:c r="H73" s="22" t="n">
        <x:v>276.04562737642584</x:v>
      </x:c>
      <x:c r="I73" s="22" t="n">
        <x:v>0</x:v>
      </x:c>
      <x:c r="J73" s="22" t="n">
        <x:v>0</x:v>
      </x:c>
      <x:c r="K73" s="22" t="n">
        <x:v>0</x:v>
      </x:c>
      <x:c r="L73" s="22" t="n">
        <x:v>401.5209125475285</x:v>
      </x:c>
      <x:c r="M73" s="22" t="n">
        <x:v>0</x:v>
      </x:c>
      <x:c r="N73" s="22" t="n">
        <x:v>0</x:v>
      </x:c>
      <x:c r="O73" s="22" t="n">
        <x:v>2195.817490494296</x:v>
      </x:c>
      <x:c r="P73" s="22" t="n">
        <x:v>313.68821292775664</x:v>
      </x:c>
      <x:c r="Q73" s="22" t="n">
        <x:v>3558.479087452471</x:v>
      </x:c>
      <x:c r="R73" s="22" t="n">
        <x:v>3558.48</x:v>
      </x:c>
      <x:c r="S73" s="20" t="n">
        <x:v>46208</x:v>
      </x:c>
      <x:c r="T73" s="22" t="n">
        <x:v>0</x:v>
      </x:c>
      <x:c r="U73" t="str">
        <x:v>Ödendi</x:v>
      </x:c>
    </x:row>
  </x:sheetData>
  <x:mergeCells>
    <x:mergeCell ref="A1:U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Deniz Apartmanı — Banka Hesap Hareketleri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Tarih</x:v>
      </x:c>
      <x:c r="B3" s="10" t="str">
        <x:v>Açıklama</x:v>
      </x:c>
      <x:c r="C3" s="10" t="str">
        <x:v>Tip</x:v>
      </x:c>
      <x:c r="D3" s="10" t="str">
        <x:v>Giriş</x:v>
      </x:c>
      <x:c r="E3" s="10" t="str">
        <x:v>Çıkış</x:v>
      </x:c>
      <x:c r="F3" s="10" t="str">
        <x:v>Bakiye</x:v>
      </x:c>
      <x:c r="G3" s="10" t="str">
        <x:v>Kategori</x:v>
      </x:c>
      <x:c r="H3" s="10" t="str">
        <x:v>Referans</x:v>
      </x:c>
    </x:row>
    <x:row r="4">
      <x:c r="A4" s="20" t="n">
        <x:v>46026</x:v>
      </x:c>
      <x:c r="B4" t="str">
        <x:v>Daire 2 - Emre Aslan 01/2026 aidat</x:v>
      </x:c>
      <x:c r="C4" t="str">
        <x:v>Giriş</x:v>
      </x:c>
      <x:c r="D4" s="22" t="n">
        <x:v>989.83</x:v>
      </x:c>
      <x:c r="E4" s="22" t="n">
        <x:v>0</x:v>
      </x:c>
      <x:c r="F4" s="22" t="n">
        <x:v>29489.83</x:v>
      </x:c>
      <x:c r="G4" t="str">
        <x:v>Aidat</x:v>
      </x:c>
      <x:c r="H4" t="str">
        <x:v>B005-R002-01</x:v>
      </x:c>
    </x:row>
    <x:row r="5">
      <x:c r="A5" s="20" t="n">
        <x:v>46026</x:v>
      </x:c>
      <x:c r="B5" t="str">
        <x:v>Daire 6 - Nihan Demir 01/2026 aidat</x:v>
      </x:c>
      <x:c r="C5" t="str">
        <x:v>Giriş</x:v>
      </x:c>
      <x:c r="D5" s="22" t="n">
        <x:v>747.87</x:v>
      </x:c>
      <x:c r="E5" s="22" t="n">
        <x:v>0</x:v>
      </x:c>
      <x:c r="F5" s="22" t="n">
        <x:v>30237.7</x:v>
      </x:c>
      <x:c r="G5" t="str">
        <x:v>Aidat</x:v>
      </x:c>
      <x:c r="H5" t="str">
        <x:v>B005-R006-01</x:v>
      </x:c>
    </x:row>
    <x:row r="6">
      <x:c r="A6" s="20" t="n">
        <x:v>46026</x:v>
      </x:c>
      <x:c r="B6" t="str">
        <x:v>Daire 8 - Fatma Aksoy 01/2026 aidat</x:v>
      </x:c>
      <x:c r="C6" t="str">
        <x:v>Giriş</x:v>
      </x:c>
      <x:c r="D6" s="22" t="n">
        <x:v>1154.8</x:v>
      </x:c>
      <x:c r="E6" s="22" t="n">
        <x:v>0</x:v>
      </x:c>
      <x:c r="F6" s="22" t="n">
        <x:v>31392.5</x:v>
      </x:c>
      <x:c r="G6" t="str">
        <x:v>Aidat</x:v>
      </x:c>
      <x:c r="H6" t="str">
        <x:v>B005-R008-01</x:v>
      </x:c>
    </x:row>
    <x:row r="7">
      <x:c r="A7" s="20" t="n">
        <x:v>46027</x:v>
      </x:c>
      <x:c r="B7" t="str">
        <x:v>Daire 4 - Ece Koç 01/2026 aidat</x:v>
      </x:c>
      <x:c r="C7" t="str">
        <x:v>Giriş</x:v>
      </x:c>
      <x:c r="D7" s="22" t="n">
        <x:v>1055.82</x:v>
      </x:c>
      <x:c r="E7" s="22" t="n">
        <x:v>0</x:v>
      </x:c>
      <x:c r="F7" s="22" t="n">
        <x:v>32448.32</x:v>
      </x:c>
      <x:c r="G7" t="str">
        <x:v>Aidat</x:v>
      </x:c>
      <x:c r="H7" t="str">
        <x:v>B005-R004-01</x:v>
      </x:c>
    </x:row>
    <x:row r="8">
      <x:c r="A8" s="20" t="n">
        <x:v>46027</x:v>
      </x:c>
      <x:c r="B8" t="str">
        <x:v>Daire 7 - Ece Demir 01/2026 aidat</x:v>
      </x:c>
      <x:c r="C8" t="str">
        <x:v>Giriş</x:v>
      </x:c>
      <x:c r="D8" s="22" t="n">
        <x:v>1231.79</x:v>
      </x:c>
      <x:c r="E8" s="22" t="n">
        <x:v>0</x:v>
      </x:c>
      <x:c r="F8" s="22" t="n">
        <x:v>33680.11</x:v>
      </x:c>
      <x:c r="G8" t="str">
        <x:v>Aidat</x:v>
      </x:c>
      <x:c r="H8" t="str">
        <x:v>B005-R007-01</x:v>
      </x:c>
    </x:row>
    <x:row r="9">
      <x:c r="A9" s="20" t="n">
        <x:v>46027</x:v>
      </x:c>
      <x:c r="B9" t="str">
        <x:v>Ocak ortak alan elektrik</x:v>
      </x:c>
      <x:c r="C9" t="str">
        <x:v>Çıkış</x:v>
      </x:c>
      <x:c r="D9" s="22" t="n">
        <x:v>0</x:v>
      </x:c>
      <x:c r="E9" s="22" t="n">
        <x:v>1650</x:v>
      </x:c>
      <x:c r="F9" s="22" t="n">
        <x:v>32030.11</x:v>
      </x:c>
      <x:c r="G9" t="str">
        <x:v>Ortak Alan Elektrik</x:v>
      </x:c>
      <x:c r="H9" t="str">
        <x:v>B005-G0007</x:v>
      </x:c>
    </x:row>
    <x:row r="10">
      <x:c r="A10" s="20" t="n">
        <x:v>46028</x:v>
      </x:c>
      <x:c r="B10" t="str">
        <x:v>Daire 1 - Pelin Aslan 01/2026 aidat</x:v>
      </x:c>
      <x:c r="C10" t="str">
        <x:v>Giriş</x:v>
      </x:c>
      <x:c r="D10" s="22" t="n">
        <x:v>1231.79</x:v>
      </x:c>
      <x:c r="E10" s="22" t="n">
        <x:v>0</x:v>
      </x:c>
      <x:c r="F10" s="22" t="n">
        <x:v>33261.9</x:v>
      </x:c>
      <x:c r="G10" t="str">
        <x:v>Aidat</x:v>
      </x:c>
      <x:c r="H10" t="str">
        <x:v>B005-R001-01</x:v>
      </x:c>
    </x:row>
    <x:row r="11">
      <x:c r="A11" s="20" t="n">
        <x:v>46029</x:v>
      </x:c>
      <x:c r="B11" t="str">
        <x:v>Daire 5 - Fatma Yıldız 01/2026 aidat</x:v>
      </x:c>
      <x:c r="C11" t="str">
        <x:v>Giriş</x:v>
      </x:c>
      <x:c r="D11" s="22" t="n">
        <x:v>1055.82</x:v>
      </x:c>
      <x:c r="E11" s="22" t="n">
        <x:v>0</x:v>
      </x:c>
      <x:c r="F11" s="22" t="n">
        <x:v>34317.72</x:v>
      </x:c>
      <x:c r="G11" t="str">
        <x:v>Aidat</x:v>
      </x:c>
      <x:c r="H11" t="str">
        <x:v>B005-R005-01</x:v>
      </x:c>
    </x:row>
    <x:row r="12">
      <x:c r="A12" s="20" t="n">
        <x:v>46030</x:v>
      </x:c>
      <x:c r="B12" t="str">
        <x:v>Daire 9 - Kerem Tekin 01/2026 aidat</x:v>
      </x:c>
      <x:c r="C12" t="str">
        <x:v>Giriş</x:v>
      </x:c>
      <x:c r="D12" s="22" t="n">
        <x:v>1594.72</x:v>
      </x:c>
      <x:c r="E12" s="22" t="n">
        <x:v>0</x:v>
      </x:c>
      <x:c r="F12" s="22" t="n">
        <x:v>35912.44</x:v>
      </x:c>
      <x:c r="G12" t="str">
        <x:v>Aidat</x:v>
      </x:c>
      <x:c r="H12" t="str">
        <x:v>B005-R009-01</x:v>
      </x:c>
    </x:row>
    <x:row r="13">
      <x:c r="A13" s="20" t="n">
        <x:v>46031</x:v>
      </x:c>
      <x:c r="B13" t="str">
        <x:v>Ocak ortak alan su</x:v>
      </x:c>
      <x:c r="C13" t="str">
        <x:v>Çıkış</x:v>
      </x:c>
      <x:c r="D13" s="22" t="n">
        <x:v>0</x:v>
      </x:c>
      <x:c r="E13" s="22" t="n">
        <x:v>850</x:v>
      </x:c>
      <x:c r="F13" s="22" t="n">
        <x:v>35062.44</x:v>
      </x:c>
      <x:c r="G13" t="str">
        <x:v>Ortak Alan Su</x:v>
      </x:c>
      <x:c r="H13" t="str">
        <x:v>B005-G0008</x:v>
      </x:c>
    </x:row>
    <x:row r="14">
      <x:c r="A14" s="20" t="n">
        <x:v>46033</x:v>
      </x:c>
      <x:c r="B14" t="str">
        <x:v>Daire 3 - Cem Kaya 01/2026 aidat</x:v>
      </x:c>
      <x:c r="C14" t="str">
        <x:v>Giriş</x:v>
      </x:c>
      <x:c r="D14" s="22" t="n">
        <x:v>1055.82</x:v>
      </x:c>
      <x:c r="E14" s="22" t="n">
        <x:v>0</x:v>
      </x:c>
      <x:c r="F14" s="22" t="n">
        <x:v>36118.26</x:v>
      </x:c>
      <x:c r="G14" t="str">
        <x:v>Aidat</x:v>
      </x:c>
      <x:c r="H14" t="str">
        <x:v>B005-R003-01</x:v>
      </x:c>
    </x:row>
    <x:row r="15">
      <x:c r="A15" s="20" t="n">
        <x:v>46035</x:v>
      </x:c>
      <x:c r="B15" t="str">
        <x:v>Daire 10 - Selin Doğan 01/2026 aidat</x:v>
      </x:c>
      <x:c r="C15" t="str">
        <x:v>Giriş</x:v>
      </x:c>
      <x:c r="D15" s="22" t="n">
        <x:v>1451.75</x:v>
      </x:c>
      <x:c r="E15" s="22" t="n">
        <x:v>0</x:v>
      </x:c>
      <x:c r="F15" s="22" t="n">
        <x:v>37570.01</x:v>
      </x:c>
      <x:c r="G15" t="str">
        <x:v>Aidat</x:v>
      </x:c>
      <x:c r="H15" t="str">
        <x:v>B005-R010-01</x:v>
      </x:c>
    </x:row>
    <x:row r="16">
      <x:c r="A16" s="20" t="n">
        <x:v>46035</x:v>
      </x:c>
      <x:c r="B16" t="str">
        <x:v>Aylık asansör bakımı</x:v>
      </x:c>
      <x:c r="C16" t="str">
        <x:v>Çıkış</x:v>
      </x:c>
      <x:c r="D16" s="22" t="n">
        <x:v>0</x:v>
      </x:c>
      <x:c r="E16" s="22" t="n">
        <x:v>2100</x:v>
      </x:c>
      <x:c r="F16" s="22" t="n">
        <x:v>35470.01</x:v>
      </x:c>
      <x:c r="G16" t="str">
        <x:v>Asansör Bakımı</x:v>
      </x:c>
      <x:c r="H16" t="str">
        <x:v>B005-G0009</x:v>
      </x:c>
    </x:row>
    <x:row r="17">
      <x:c r="A17" s="20" t="n">
        <x:v>46039</x:v>
      </x:c>
      <x:c r="B17" t="str">
        <x:v>Hidrofor bakım ve ayar</x:v>
      </x:c>
      <x:c r="C17" t="str">
        <x:v>Çıkış</x:v>
      </x:c>
      <x:c r="D17" s="22" t="n">
        <x:v>0</x:v>
      </x:c>
      <x:c r="E17" s="22" t="n">
        <x:v>3200</x:v>
      </x:c>
      <x:c r="F17" s="22" t="n">
        <x:v>32270.010000000002</x:v>
      </x:c>
      <x:c r="G17" t="str">
        <x:v>Hidrofor Bakımı</x:v>
      </x:c>
      <x:c r="H17" t="str">
        <x:v>B005-G0010</x:v>
      </x:c>
    </x:row>
    <x:row r="18">
      <x:c r="A18" s="20" t="n">
        <x:v>46047</x:v>
      </x:c>
      <x:c r="B18" t="str">
        <x:v>Yönetim hizmet bedeli</x:v>
      </x:c>
      <x:c r="C18" t="str">
        <x:v>Çıkış</x:v>
      </x:c>
      <x:c r="D18" s="22" t="n">
        <x:v>0</x:v>
      </x:c>
      <x:c r="E18" s="22" t="n">
        <x:v>2500</x:v>
      </x:c>
      <x:c r="F18" s="22" t="n">
        <x:v>29770.010000000002</x:v>
      </x:c>
      <x:c r="G18" t="str">
        <x:v>Yönetim Hizmeti</x:v>
      </x:c>
      <x:c r="H18" t="str">
        <x:v>B005-G0012</x:v>
      </x:c>
    </x:row>
    <x:row r="19">
      <x:c r="A19" s="20" t="n">
        <x:v>46057</x:v>
      </x:c>
      <x:c r="B19" t="str">
        <x:v>Daire 3 - Cem Kaya 02/2026 aidat</x:v>
      </x:c>
      <x:c r="C19" t="str">
        <x:v>Giriş</x:v>
      </x:c>
      <x:c r="D19" s="22" t="n">
        <x:v>1195.44</x:v>
      </x:c>
      <x:c r="E19" s="22" t="n">
        <x:v>0</x:v>
      </x:c>
      <x:c r="F19" s="22" t="n">
        <x:v>30965.45</x:v>
      </x:c>
      <x:c r="G19" t="str">
        <x:v>Aidat</x:v>
      </x:c>
      <x:c r="H19" t="str">
        <x:v>B005-R003-02</x:v>
      </x:c>
    </x:row>
    <x:row r="20">
      <x:c r="A20" s="20" t="n">
        <x:v>46057</x:v>
      </x:c>
      <x:c r="B20" t="str">
        <x:v>Daire 8 - Fatma Aksoy 02/2026 aidat</x:v>
      </x:c>
      <x:c r="C20" t="str">
        <x:v>Giriş</x:v>
      </x:c>
      <x:c r="D20" s="22" t="n">
        <x:v>1307.51</x:v>
      </x:c>
      <x:c r="E20" s="22" t="n">
        <x:v>0</x:v>
      </x:c>
      <x:c r="F20" s="22" t="n">
        <x:v>32272.96</x:v>
      </x:c>
      <x:c r="G20" t="str">
        <x:v>Aidat</x:v>
      </x:c>
      <x:c r="H20" t="str">
        <x:v>B005-R008-02</x:v>
      </x:c>
    </x:row>
    <x:row r="21">
      <x:c r="A21" s="20" t="n">
        <x:v>46058</x:v>
      </x:c>
      <x:c r="B21" t="str">
        <x:v>Şubat ortak alan elektrik</x:v>
      </x:c>
      <x:c r="C21" t="str">
        <x:v>Çıkış</x:v>
      </x:c>
      <x:c r="D21" s="22" t="n">
        <x:v>0</x:v>
      </x:c>
      <x:c r="E21" s="22" t="n">
        <x:v>1720</x:v>
      </x:c>
      <x:c r="F21" s="22" t="n">
        <x:v>30552.96</x:v>
      </x:c>
      <x:c r="G21" t="str">
        <x:v>Ortak Alan Elektrik</x:v>
      </x:c>
      <x:c r="H21" t="str">
        <x:v>B005-G0013</x:v>
      </x:c>
    </x:row>
    <x:row r="22">
      <x:c r="A22" s="20" t="n">
        <x:v>46059</x:v>
      </x:c>
      <x:c r="B22" t="str">
        <x:v>Daire 4 - Ece Koç 02/2026 aidat</x:v>
      </x:c>
      <x:c r="C22" t="str">
        <x:v>Giriş</x:v>
      </x:c>
      <x:c r="D22" s="22" t="n">
        <x:v>1195.44</x:v>
      </x:c>
      <x:c r="E22" s="22" t="n">
        <x:v>0</x:v>
      </x:c>
      <x:c r="F22" s="22" t="n">
        <x:v>31748.399999999998</x:v>
      </x:c>
      <x:c r="G22" t="str">
        <x:v>Aidat</x:v>
      </x:c>
      <x:c r="H22" t="str">
        <x:v>B005-R004-02</x:v>
      </x:c>
    </x:row>
    <x:row r="23">
      <x:c r="A23" s="20" t="n">
        <x:v>46061</x:v>
      </x:c>
      <x:c r="B23" t="str">
        <x:v>Daire 6 - Nihan Demir 02/2026 aidat</x:v>
      </x:c>
      <x:c r="C23" t="str">
        <x:v>Giriş</x:v>
      </x:c>
      <x:c r="D23" s="22" t="n">
        <x:v>846.77</x:v>
      </x:c>
      <x:c r="E23" s="22" t="n">
        <x:v>0</x:v>
      </x:c>
      <x:c r="F23" s="22" t="n">
        <x:v>32595.17</x:v>
      </x:c>
      <x:c r="G23" t="str">
        <x:v>Aidat</x:v>
      </x:c>
      <x:c r="H23" t="str">
        <x:v>B005-R006-02</x:v>
      </x:c>
    </x:row>
    <x:row r="24">
      <x:c r="A24" s="20" t="n">
        <x:v>46061</x:v>
      </x:c>
      <x:c r="B24" t="str">
        <x:v>Daire 7 - Ece Demir 02/2026 aidat</x:v>
      </x:c>
      <x:c r="C24" t="str">
        <x:v>Giriş</x:v>
      </x:c>
      <x:c r="D24" s="22" t="n">
        <x:v>1394.68</x:v>
      </x:c>
      <x:c r="E24" s="22" t="n">
        <x:v>0</x:v>
      </x:c>
      <x:c r="F24" s="22" t="n">
        <x:v>33989.85</x:v>
      </x:c>
      <x:c r="G24" t="str">
        <x:v>Aidat</x:v>
      </x:c>
      <x:c r="H24" t="str">
        <x:v>B005-R007-02</x:v>
      </x:c>
    </x:row>
    <x:row r="25">
      <x:c r="A25" s="20" t="n">
        <x:v>46062</x:v>
      </x:c>
      <x:c r="B25" t="str">
        <x:v>Şubat ortak alan su</x:v>
      </x:c>
      <x:c r="C25" t="str">
        <x:v>Çıkış</x:v>
      </x:c>
      <x:c r="D25" s="22" t="n">
        <x:v>0</x:v>
      </x:c>
      <x:c r="E25" s="22" t="n">
        <x:v>920</x:v>
      </x:c>
      <x:c r="F25" s="22" t="n">
        <x:v>33069.85</x:v>
      </x:c>
      <x:c r="G25" t="str">
        <x:v>Ortak Alan Su</x:v>
      </x:c>
      <x:c r="H25" t="str">
        <x:v>B005-G0014</x:v>
      </x:c>
    </x:row>
    <x:row r="26">
      <x:c r="A26" s="20" t="n">
        <x:v>46063</x:v>
      </x:c>
      <x:c r="B26" t="str">
        <x:v>Daire 2 - Emre Aslan 02/2026 aidat</x:v>
      </x:c>
      <x:c r="C26" t="str">
        <x:v>Giriş</x:v>
      </x:c>
      <x:c r="D26" s="22" t="n">
        <x:v>1120.72</x:v>
      </x:c>
      <x:c r="E26" s="22" t="n">
        <x:v>0</x:v>
      </x:c>
      <x:c r="F26" s="22" t="n">
        <x:v>34190.57</x:v>
      </x:c>
      <x:c r="G26" t="str">
        <x:v>Aidat</x:v>
      </x:c>
      <x:c r="H26" t="str">
        <x:v>B005-R002-02</x:v>
      </x:c>
    </x:row>
    <x:row r="27">
      <x:c r="A27" s="20" t="n">
        <x:v>46063</x:v>
      </x:c>
      <x:c r="B27" t="str">
        <x:v>Daire 5 - Fatma Yıldız 02/2026 aidat</x:v>
      </x:c>
      <x:c r="C27" t="str">
        <x:v>Giriş</x:v>
      </x:c>
      <x:c r="D27" s="22" t="n">
        <x:v>1195.44</x:v>
      </x:c>
      <x:c r="E27" s="22" t="n">
        <x:v>0</x:v>
      </x:c>
      <x:c r="F27" s="22" t="n">
        <x:v>35386.01</x:v>
      </x:c>
      <x:c r="G27" t="str">
        <x:v>Aidat</x:v>
      </x:c>
      <x:c r="H27" t="str">
        <x:v>B005-R005-02</x:v>
      </x:c>
    </x:row>
    <x:row r="28">
      <x:c r="A28" s="20" t="n">
        <x:v>46064</x:v>
      </x:c>
      <x:c r="B28" t="str">
        <x:v>Daire 1 - Pelin Aslan 02/2026 aidat</x:v>
      </x:c>
      <x:c r="C28" t="str">
        <x:v>Giriş</x:v>
      </x:c>
      <x:c r="D28" s="22" t="n">
        <x:v>1394.68</x:v>
      </x:c>
      <x:c r="E28" s="22" t="n">
        <x:v>0</x:v>
      </x:c>
      <x:c r="F28" s="22" t="n">
        <x:v>36780.69</x:v>
      </x:c>
      <x:c r="G28" t="str">
        <x:v>Aidat</x:v>
      </x:c>
      <x:c r="H28" t="str">
        <x:v>B005-R001-02</x:v>
      </x:c>
    </x:row>
    <x:row r="29">
      <x:c r="A29" s="20" t="n">
        <x:v>46065</x:v>
      </x:c>
      <x:c r="B29" t="str">
        <x:v>Daire 9 - Kerem Tekin 02/2026 aidat</x:v>
      </x:c>
      <x:c r="C29" t="str">
        <x:v>Giriş</x:v>
      </x:c>
      <x:c r="D29" s="22" t="n">
        <x:v>1805.61</x:v>
      </x:c>
      <x:c r="E29" s="22" t="n">
        <x:v>0</x:v>
      </x:c>
      <x:c r="F29" s="22" t="n">
        <x:v>38586.3</x:v>
      </x:c>
      <x:c r="G29" t="str">
        <x:v>Aidat</x:v>
      </x:c>
      <x:c r="H29" t="str">
        <x:v>B005-R009-02</x:v>
      </x:c>
    </x:row>
    <x:row r="30">
      <x:c r="A30" s="20" t="n">
        <x:v>46065</x:v>
      </x:c>
      <x:c r="B30" t="str">
        <x:v>Daire 10 - Selin Doğan 02/2026 aidat</x:v>
      </x:c>
      <x:c r="C30" t="str">
        <x:v>Giriş</x:v>
      </x:c>
      <x:c r="D30" s="22" t="n">
        <x:v>1643.73</x:v>
      </x:c>
      <x:c r="E30" s="22" t="n">
        <x:v>0</x:v>
      </x:c>
      <x:c r="F30" s="22" t="n">
        <x:v>40230.030000000006</x:v>
      </x:c>
      <x:c r="G30" t="str">
        <x:v>Aidat</x:v>
      </x:c>
      <x:c r="H30" t="str">
        <x:v>B005-R010-02</x:v>
      </x:c>
    </x:row>
    <x:row r="31">
      <x:c r="A31" s="20" t="n">
        <x:v>46066</x:v>
      </x:c>
      <x:c r="B31" t="str">
        <x:v>Aylık asansör bakımı</x:v>
      </x:c>
      <x:c r="C31" t="str">
        <x:v>Çıkış</x:v>
      </x:c>
      <x:c r="D31" s="22" t="n">
        <x:v>0</x:v>
      </x:c>
      <x:c r="E31" s="22" t="n">
        <x:v>2100</x:v>
      </x:c>
      <x:c r="F31" s="22" t="n">
        <x:v>38130.030000000006</x:v>
      </x:c>
      <x:c r="G31" t="str">
        <x:v>Asansör Bakımı</x:v>
      </x:c>
      <x:c r="H31" t="str">
        <x:v>B005-G0015</x:v>
      </x:c>
    </x:row>
    <x:row r="32">
      <x:c r="A32" s="20" t="n">
        <x:v>46070</x:v>
      </x:c>
      <x:c r="B32" t="str">
        <x:v>Jeneratör akü ve filtre kontrolü</x:v>
      </x:c>
      <x:c r="C32" t="str">
        <x:v>Çıkış</x:v>
      </x:c>
      <x:c r="D32" s="22" t="n">
        <x:v>0</x:v>
      </x:c>
      <x:c r="E32" s="22" t="n">
        <x:v>2400</x:v>
      </x:c>
      <x:c r="F32" s="22" t="n">
        <x:v>35730.030000000006</x:v>
      </x:c>
      <x:c r="G32" t="str">
        <x:v>Jeneratör Bakımı</x:v>
      </x:c>
      <x:c r="H32" t="str">
        <x:v>B005-G0016</x:v>
      </x:c>
    </x:row>
    <x:row r="33">
      <x:c r="A33" s="20" t="n">
        <x:v>46074</x:v>
      </x:c>
      <x:c r="B33" t="str">
        <x:v>Yangın tüpü kontrol ve dolumu</x:v>
      </x:c>
      <x:c r="C33" t="str">
        <x:v>Çıkış</x:v>
      </x:c>
      <x:c r="D33" s="22" t="n">
        <x:v>0</x:v>
      </x:c>
      <x:c r="E33" s="22" t="n">
        <x:v>4200</x:v>
      </x:c>
      <x:c r="F33" s="22" t="n">
        <x:v>31530.030000000006</x:v>
      </x:c>
      <x:c r="G33" t="str">
        <x:v>Yangın Sistemleri</x:v>
      </x:c>
      <x:c r="H33" t="str">
        <x:v>B005-G0017</x:v>
      </x:c>
    </x:row>
    <x:row r="34">
      <x:c r="A34" s="20" t="n">
        <x:v>46078</x:v>
      </x:c>
      <x:c r="B34" t="str">
        <x:v>Yönetim hizmet bedeli</x:v>
      </x:c>
      <x:c r="C34" t="str">
        <x:v>Çıkış</x:v>
      </x:c>
      <x:c r="D34" s="22" t="n">
        <x:v>0</x:v>
      </x:c>
      <x:c r="E34" s="22" t="n">
        <x:v>2500</x:v>
      </x:c>
      <x:c r="F34" s="22" t="n">
        <x:v>29030.030000000006</x:v>
      </x:c>
      <x:c r="G34" t="str">
        <x:v>Yönetim Hizmeti</x:v>
      </x:c>
      <x:c r="H34" t="str">
        <x:v>B005-G0018</x:v>
      </x:c>
    </x:row>
    <x:row r="35">
      <x:c r="A35" s="20" t="n">
        <x:v>46085</x:v>
      </x:c>
      <x:c r="B35" t="str">
        <x:v>Daire 3 - Cem Kaya 03/2026 aidat</x:v>
      </x:c>
      <x:c r="C35" t="str">
        <x:v>Giriş</x:v>
      </x:c>
      <x:c r="D35" s="22" t="n">
        <x:v>1262.97</x:v>
      </x:c>
      <x:c r="E35" s="22" t="n">
        <x:v>0</x:v>
      </x:c>
      <x:c r="F35" s="22" t="n">
        <x:v>30293.000000000007</x:v>
      </x:c>
      <x:c r="G35" t="str">
        <x:v>Aidat</x:v>
      </x:c>
      <x:c r="H35" t="str">
        <x:v>B005-R003-03</x:v>
      </x:c>
    </x:row>
    <x:row r="36">
      <x:c r="A36" s="20" t="n">
        <x:v>46086</x:v>
      </x:c>
      <x:c r="B36" t="str">
        <x:v>Daire 4 - Ece Koç 03/2026 aidat</x:v>
      </x:c>
      <x:c r="C36" t="str">
        <x:v>Giriş</x:v>
      </x:c>
      <x:c r="D36" s="22" t="n">
        <x:v>1262.97</x:v>
      </x:c>
      <x:c r="E36" s="22" t="n">
        <x:v>0</x:v>
      </x:c>
      <x:c r="F36" s="22" t="n">
        <x:v>31555.97000000001</x:v>
      </x:c>
      <x:c r="G36" t="str">
        <x:v>Aidat</x:v>
      </x:c>
      <x:c r="H36" t="str">
        <x:v>B005-R004-03</x:v>
      </x:c>
    </x:row>
    <x:row r="37">
      <x:c r="A37" s="20" t="n">
        <x:v>46086</x:v>
      </x:c>
      <x:c r="B37" t="str">
        <x:v>Daire 9 - Kerem Tekin 03/2026 aidat</x:v>
      </x:c>
      <x:c r="C37" t="str">
        <x:v>Giriş</x:v>
      </x:c>
      <x:c r="D37" s="22" t="n">
        <x:v>1907.6</x:v>
      </x:c>
      <x:c r="E37" s="22" t="n">
        <x:v>0</x:v>
      </x:c>
      <x:c r="F37" s="22" t="n">
        <x:v>33463.57000000001</x:v>
      </x:c>
      <x:c r="G37" t="str">
        <x:v>Aidat</x:v>
      </x:c>
      <x:c r="H37" t="str">
        <x:v>B005-R009-03</x:v>
      </x:c>
    </x:row>
    <x:row r="38">
      <x:c r="A38" s="20" t="n">
        <x:v>46086</x:v>
      </x:c>
      <x:c r="B38" t="str">
        <x:v>Mart ortak alan elektrik</x:v>
      </x:c>
      <x:c r="C38" t="str">
        <x:v>Çıkış</x:v>
      </x:c>
      <x:c r="D38" s="22" t="n">
        <x:v>0</x:v>
      </x:c>
      <x:c r="E38" s="22" t="n">
        <x:v>1580</x:v>
      </x:c>
      <x:c r="F38" s="22" t="n">
        <x:v>31883.570000000007</x:v>
      </x:c>
      <x:c r="G38" t="str">
        <x:v>Ortak Alan Elektrik</x:v>
      </x:c>
      <x:c r="H38" t="str">
        <x:v>B005-G0019</x:v>
      </x:c>
    </x:row>
    <x:row r="39">
      <x:c r="A39" s="20" t="n">
        <x:v>46087</x:v>
      </x:c>
      <x:c r="B39" t="str">
        <x:v>Daire 2 - Emre Aslan 03/2026 aidat</x:v>
      </x:c>
      <x:c r="C39" t="str">
        <x:v>Giriş</x:v>
      </x:c>
      <x:c r="D39" s="22" t="n">
        <x:v>1184.03</x:v>
      </x:c>
      <x:c r="E39" s="22" t="n">
        <x:v>0</x:v>
      </x:c>
      <x:c r="F39" s="22" t="n">
        <x:v>33067.600000000006</x:v>
      </x:c>
      <x:c r="G39" t="str">
        <x:v>Aidat</x:v>
      </x:c>
      <x:c r="H39" t="str">
        <x:v>B005-R002-03</x:v>
      </x:c>
    </x:row>
    <x:row r="40">
      <x:c r="A40" s="20" t="n">
        <x:v>46090</x:v>
      </x:c>
      <x:c r="B40" t="str">
        <x:v>Daire 1 - Pelin Aslan 03/2026 aidat</x:v>
      </x:c>
      <x:c r="C40" t="str">
        <x:v>Giriş</x:v>
      </x:c>
      <x:c r="D40" s="22" t="n">
        <x:v>1473.46</x:v>
      </x:c>
      <x:c r="E40" s="22" t="n">
        <x:v>0</x:v>
      </x:c>
      <x:c r="F40" s="22" t="n">
        <x:v>34541.060000000005</x:v>
      </x:c>
      <x:c r="G40" t="str">
        <x:v>Aidat</x:v>
      </x:c>
      <x:c r="H40" t="str">
        <x:v>B005-R001-03</x:v>
      </x:c>
    </x:row>
    <x:row r="41">
      <x:c r="A41" s="20" t="n">
        <x:v>46090</x:v>
      </x:c>
      <x:c r="B41" t="str">
        <x:v>Daire 8 - Fatma Aksoy 03/2026 aidat</x:v>
      </x:c>
      <x:c r="C41" t="str">
        <x:v>Giriş</x:v>
      </x:c>
      <x:c r="D41" s="22" t="n">
        <x:v>1381.37</x:v>
      </x:c>
      <x:c r="E41" s="22" t="n">
        <x:v>0</x:v>
      </x:c>
      <x:c r="F41" s="22" t="n">
        <x:v>35922.43000000001</x:v>
      </x:c>
      <x:c r="G41" t="str">
        <x:v>Aidat</x:v>
      </x:c>
      <x:c r="H41" t="str">
        <x:v>B005-R008-03</x:v>
      </x:c>
    </x:row>
    <x:row r="42">
      <x:c r="A42" s="20" t="n">
        <x:v>46090</x:v>
      </x:c>
      <x:c r="B42" t="str">
        <x:v>Mart ortak alan su</x:v>
      </x:c>
      <x:c r="C42" t="str">
        <x:v>Çıkış</x:v>
      </x:c>
      <x:c r="D42" s="22" t="n">
        <x:v>0</x:v>
      </x:c>
      <x:c r="E42" s="22" t="n">
        <x:v>890</x:v>
      </x:c>
      <x:c r="F42" s="22" t="n">
        <x:v>35032.43000000001</x:v>
      </x:c>
      <x:c r="G42" t="str">
        <x:v>Ortak Alan Su</x:v>
      </x:c>
      <x:c r="H42" t="str">
        <x:v>B005-G0020</x:v>
      </x:c>
    </x:row>
    <x:row r="43">
      <x:c r="A43" s="20" t="n">
        <x:v>46091</x:v>
      </x:c>
      <x:c r="B43" t="str">
        <x:v>Daire 6 - Nihan Demir 03/2026 aidat</x:v>
      </x:c>
      <x:c r="C43" t="str">
        <x:v>Giriş</x:v>
      </x:c>
      <x:c r="D43" s="22" t="n">
        <x:v>894.6</x:v>
      </x:c>
      <x:c r="E43" s="22" t="n">
        <x:v>0</x:v>
      </x:c>
      <x:c r="F43" s="22" t="n">
        <x:v>35927.030000000006</x:v>
      </x:c>
      <x:c r="G43" t="str">
        <x:v>Aidat</x:v>
      </x:c>
      <x:c r="H43" t="str">
        <x:v>B005-R006-03</x:v>
      </x:c>
    </x:row>
    <x:row r="44">
      <x:c r="A44" s="20" t="n">
        <x:v>46094</x:v>
      </x:c>
      <x:c r="B44" t="str">
        <x:v>Aylık asansör bakımı</x:v>
      </x:c>
      <x:c r="C44" t="str">
        <x:v>Çıkış</x:v>
      </x:c>
      <x:c r="D44" s="22" t="n">
        <x:v>0</x:v>
      </x:c>
      <x:c r="E44" s="22" t="n">
        <x:v>2100</x:v>
      </x:c>
      <x:c r="F44" s="22" t="n">
        <x:v>33827.030000000006</x:v>
      </x:c>
      <x:c r="G44" t="str">
        <x:v>Asansör Bakımı</x:v>
      </x:c>
      <x:c r="H44" t="str">
        <x:v>B005-G0021</x:v>
      </x:c>
    </x:row>
    <x:row r="45">
      <x:c r="A45" s="20" t="n">
        <x:v>46106</x:v>
      </x:c>
      <x:c r="B45" t="str">
        <x:v>Yönetim hizmet bedeli</x:v>
      </x:c>
      <x:c r="C45" t="str">
        <x:v>Çıkış</x:v>
      </x:c>
      <x:c r="D45" s="22" t="n">
        <x:v>0</x:v>
      </x:c>
      <x:c r="E45" s="22" t="n">
        <x:v>2500</x:v>
      </x:c>
      <x:c r="F45" s="22" t="n">
        <x:v>31327.030000000006</x:v>
      </x:c>
      <x:c r="G45" t="str">
        <x:v>Yönetim Hizmeti</x:v>
      </x:c>
      <x:c r="H45" t="str">
        <x:v>B005-G0024</x:v>
      </x:c>
    </x:row>
    <x:row r="46">
      <x:c r="A46" s="20" t="n">
        <x:v>46116</x:v>
      </x:c>
      <x:c r="B46" t="str">
        <x:v>Daire 5 - Fatma Yıldız 04/2026 aidat</x:v>
      </x:c>
      <x:c r="C46" t="str">
        <x:v>Giriş</x:v>
      </x:c>
      <x:c r="D46" s="22" t="n">
        <x:v>1265.7</x:v>
      </x:c>
      <x:c r="E46" s="22" t="n">
        <x:v>0</x:v>
      </x:c>
      <x:c r="F46" s="22" t="n">
        <x:v>32592.730000000007</x:v>
      </x:c>
      <x:c r="G46" t="str">
        <x:v>Aidat</x:v>
      </x:c>
      <x:c r="H46" t="str">
        <x:v>B005-R005-04</x:v>
      </x:c>
    </x:row>
    <x:row r="47">
      <x:c r="A47" s="20" t="n">
        <x:v>46117</x:v>
      </x:c>
      <x:c r="B47" t="str">
        <x:v>Nisan ortak alan elektrik</x:v>
      </x:c>
      <x:c r="C47" t="str">
        <x:v>Çıkış</x:v>
      </x:c>
      <x:c r="D47" s="22" t="n">
        <x:v>0</x:v>
      </x:c>
      <x:c r="E47" s="22" t="n">
        <x:v>1690</x:v>
      </x:c>
      <x:c r="F47" s="22" t="n">
        <x:v>30902.730000000007</x:v>
      </x:c>
      <x:c r="G47" t="str">
        <x:v>Ortak Alan Elektrik</x:v>
      </x:c>
      <x:c r="H47" t="str">
        <x:v>B005-G0025</x:v>
      </x:c>
    </x:row>
    <x:row r="48">
      <x:c r="A48" s="20" t="n">
        <x:v>46118</x:v>
      </x:c>
      <x:c r="B48" t="str">
        <x:v>Daire 6 - Nihan Demir 04/2026 aidat</x:v>
      </x:c>
      <x:c r="C48" t="str">
        <x:v>Giriş</x:v>
      </x:c>
      <x:c r="D48" s="22" t="n">
        <x:v>896.54</x:v>
      </x:c>
      <x:c r="E48" s="22" t="n">
        <x:v>0</x:v>
      </x:c>
      <x:c r="F48" s="22" t="n">
        <x:v>31799.270000000008</x:v>
      </x:c>
      <x:c r="G48" t="str">
        <x:v>Aidat</x:v>
      </x:c>
      <x:c r="H48" t="str">
        <x:v>B005-R006-04</x:v>
      </x:c>
    </x:row>
    <x:row r="49">
      <x:c r="A49" s="20" t="n">
        <x:v>46120</x:v>
      </x:c>
      <x:c r="B49" t="str">
        <x:v>Daire 1 - Pelin Aslan 04/2026 aidat</x:v>
      </x:c>
      <x:c r="C49" t="str">
        <x:v>Giriş</x:v>
      </x:c>
      <x:c r="D49" s="22" t="n">
        <x:v>1476.65</x:v>
      </x:c>
      <x:c r="E49" s="22" t="n">
        <x:v>0</x:v>
      </x:c>
      <x:c r="F49" s="22" t="n">
        <x:v>33275.920000000006</x:v>
      </x:c>
      <x:c r="G49" t="str">
        <x:v>Aidat</x:v>
      </x:c>
      <x:c r="H49" t="str">
        <x:v>B005-R001-04</x:v>
      </x:c>
    </x:row>
    <x:row r="50">
      <x:c r="A50" s="20" t="n">
        <x:v>46121</x:v>
      </x:c>
      <x:c r="B50" t="str">
        <x:v>Daire 4 - Ece Koç 04/2026 aidat</x:v>
      </x:c>
      <x:c r="C50" t="str">
        <x:v>Giriş</x:v>
      </x:c>
      <x:c r="D50" s="22" t="n">
        <x:v>1265.7</x:v>
      </x:c>
      <x:c r="E50" s="22" t="n">
        <x:v>0</x:v>
      </x:c>
      <x:c r="F50" s="22" t="n">
        <x:v>34541.62</x:v>
      </x:c>
      <x:c r="G50" t="str">
        <x:v>Aidat</x:v>
      </x:c>
      <x:c r="H50" t="str">
        <x:v>B005-R004-04</x:v>
      </x:c>
    </x:row>
    <x:row r="51">
      <x:c r="A51" s="20" t="n">
        <x:v>46121</x:v>
      </x:c>
      <x:c r="B51" t="str">
        <x:v>Daire 8 - Fatma Aksoy 04/2026 aidat</x:v>
      </x:c>
      <x:c r="C51" t="str">
        <x:v>Giriş</x:v>
      </x:c>
      <x:c r="D51" s="22" t="n">
        <x:v>1384.36</x:v>
      </x:c>
      <x:c r="E51" s="22" t="n">
        <x:v>0</x:v>
      </x:c>
      <x:c r="F51" s="22" t="n">
        <x:v>35925.98</x:v>
      </x:c>
      <x:c r="G51" t="str">
        <x:v>Aidat</x:v>
      </x:c>
      <x:c r="H51" t="str">
        <x:v>B005-R008-04</x:v>
      </x:c>
    </x:row>
    <x:row r="52">
      <x:c r="A52" s="20" t="n">
        <x:v>46121</x:v>
      </x:c>
      <x:c r="B52" t="str">
        <x:v>Nisan ortak alan su</x:v>
      </x:c>
      <x:c r="C52" t="str">
        <x:v>Çıkış</x:v>
      </x:c>
      <x:c r="D52" s="22" t="n">
        <x:v>0</x:v>
      </x:c>
      <x:c r="E52" s="22" t="n">
        <x:v>910</x:v>
      </x:c>
      <x:c r="F52" s="22" t="n">
        <x:v>35015.98</x:v>
      </x:c>
      <x:c r="G52" t="str">
        <x:v>Ortak Alan Su</x:v>
      </x:c>
      <x:c r="H52" t="str">
        <x:v>B005-G0026</x:v>
      </x:c>
    </x:row>
    <x:row r="53">
      <x:c r="A53" s="20" t="n">
        <x:v>46122</x:v>
      </x:c>
      <x:c r="B53" t="str">
        <x:v>Daire 7 - Ece Demir 04/2026 aidat</x:v>
      </x:c>
      <x:c r="C53" t="str">
        <x:v>Giriş</x:v>
      </x:c>
      <x:c r="D53" s="22" t="n">
        <x:v>1476.65</x:v>
      </x:c>
      <x:c r="E53" s="22" t="n">
        <x:v>0</x:v>
      </x:c>
      <x:c r="F53" s="22" t="n">
        <x:v>36492.630000000005</x:v>
      </x:c>
      <x:c r="G53" t="str">
        <x:v>Aidat</x:v>
      </x:c>
      <x:c r="H53" t="str">
        <x:v>B005-R007-04</x:v>
      </x:c>
    </x:row>
    <x:row r="54">
      <x:c r="A54" s="20" t="n">
        <x:v>46122</x:v>
      </x:c>
      <x:c r="B54" t="str">
        <x:v>Daire 10 - Selin Doğan 04/2026 aidat</x:v>
      </x:c>
      <x:c r="C54" t="str">
        <x:v>Giriş</x:v>
      </x:c>
      <x:c r="D54" s="22" t="n">
        <x:v>1740.34</x:v>
      </x:c>
      <x:c r="E54" s="22" t="n">
        <x:v>0</x:v>
      </x:c>
      <x:c r="F54" s="22" t="n">
        <x:v>38232.97</x:v>
      </x:c>
      <x:c r="G54" t="str">
        <x:v>Aidat</x:v>
      </x:c>
      <x:c r="H54" t="str">
        <x:v>B005-R010-04</x:v>
      </x:c>
    </x:row>
    <x:row r="55">
      <x:c r="A55" s="20" t="n">
        <x:v>46124</x:v>
      </x:c>
      <x:c r="B55" t="str">
        <x:v>Daire 3 - Cem Kaya 04/2026 aidat</x:v>
      </x:c>
      <x:c r="C55" t="str">
        <x:v>Giriş</x:v>
      </x:c>
      <x:c r="D55" s="22" t="n">
        <x:v>1265.7</x:v>
      </x:c>
      <x:c r="E55" s="22" t="n">
        <x:v>0</x:v>
      </x:c>
      <x:c r="F55" s="22" t="n">
        <x:v>39498.67</x:v>
      </x:c>
      <x:c r="G55" t="str">
        <x:v>Aidat</x:v>
      </x:c>
      <x:c r="H55" t="str">
        <x:v>B005-R003-04</x:v>
      </x:c>
    </x:row>
    <x:row r="56">
      <x:c r="A56" s="20" t="n">
        <x:v>46125</x:v>
      </x:c>
      <x:c r="B56" t="str">
        <x:v>Daire 2 - Emre Aslan 04/2026 aidat</x:v>
      </x:c>
      <x:c r="C56" t="str">
        <x:v>Giriş</x:v>
      </x:c>
      <x:c r="D56" s="22" t="n">
        <x:v>1186.6</x:v>
      </x:c>
      <x:c r="E56" s="22" t="n">
        <x:v>0</x:v>
      </x:c>
      <x:c r="F56" s="22" t="n">
        <x:v>40685.27</x:v>
      </x:c>
      <x:c r="G56" t="str">
        <x:v>Aidat</x:v>
      </x:c>
      <x:c r="H56" t="str">
        <x:v>B005-R002-04</x:v>
      </x:c>
    </x:row>
    <x:row r="57">
      <x:c r="A57" s="20" t="n">
        <x:v>46125</x:v>
      </x:c>
      <x:c r="B57" t="str">
        <x:v>Daire 9 - Kerem Tekin 04/2026 aidat</x:v>
      </x:c>
      <x:c r="C57" t="str">
        <x:v>Giriş</x:v>
      </x:c>
      <x:c r="D57" s="22" t="n">
        <x:v>1911.74</x:v>
      </x:c>
      <x:c r="E57" s="22" t="n">
        <x:v>0</x:v>
      </x:c>
      <x:c r="F57" s="22" t="n">
        <x:v>42597.009999999995</x:v>
      </x:c>
      <x:c r="G57" t="str">
        <x:v>Aidat</x:v>
      </x:c>
      <x:c r="H57" t="str">
        <x:v>B005-R009-04</x:v>
      </x:c>
    </x:row>
    <x:row r="58">
      <x:c r="A58" s="20" t="n">
        <x:v>46125</x:v>
      </x:c>
      <x:c r="B58" t="str">
        <x:v>Aylık asansör bakımı</x:v>
      </x:c>
      <x:c r="C58" t="str">
        <x:v>Çıkış</x:v>
      </x:c>
      <x:c r="D58" s="22" t="n">
        <x:v>0</x:v>
      </x:c>
      <x:c r="E58" s="22" t="n">
        <x:v>2200</x:v>
      </x:c>
      <x:c r="F58" s="22" t="n">
        <x:v>40397.009999999995</x:v>
      </x:c>
      <x:c r="G58" t="str">
        <x:v>Asansör Bakımı</x:v>
      </x:c>
      <x:c r="H58" t="str">
        <x:v>B005-G0027</x:v>
      </x:c>
    </x:row>
    <x:row r="59">
      <x:c r="A59" s="20" t="n">
        <x:v>46129</x:v>
      </x:c>
      <x:c r="B59" t="str">
        <x:v>Hidrofor parça değişimi</x:v>
      </x:c>
      <x:c r="C59" t="str">
        <x:v>Çıkış</x:v>
      </x:c>
      <x:c r="D59" s="22" t="n">
        <x:v>0</x:v>
      </x:c>
      <x:c r="E59" s="22" t="n">
        <x:v>6200</x:v>
      </x:c>
      <x:c r="F59" s="22" t="n">
        <x:v>34197.009999999995</x:v>
      </x:c>
      <x:c r="G59" t="str">
        <x:v>Hidrofor Bakımı</x:v>
      </x:c>
      <x:c r="H59" t="str">
        <x:v>B005-G0028</x:v>
      </x:c>
    </x:row>
    <x:row r="60">
      <x:c r="A60" s="20" t="n">
        <x:v>46137</x:v>
      </x:c>
      <x:c r="B60" t="str">
        <x:v>Yönetim hizmet bedeli</x:v>
      </x:c>
      <x:c r="C60" t="str">
        <x:v>Çıkış</x:v>
      </x:c>
      <x:c r="D60" s="22" t="n">
        <x:v>0</x:v>
      </x:c>
      <x:c r="E60" s="22" t="n">
        <x:v>2500</x:v>
      </x:c>
      <x:c r="F60" s="22" t="n">
        <x:v>31697.009999999995</x:v>
      </x:c>
      <x:c r="G60" t="str">
        <x:v>Yönetim Hizmeti</x:v>
      </x:c>
      <x:c r="H60" t="str">
        <x:v>B005-G0030</x:v>
      </x:c>
    </x:row>
    <x:row r="61">
      <x:c r="A61" s="20" t="n">
        <x:v>46147</x:v>
      </x:c>
      <x:c r="B61" t="str">
        <x:v>Daire 5 - Fatma Yıldız 05/2026 aidat</x:v>
      </x:c>
      <x:c r="C61" t="str">
        <x:v>Giriş</x:v>
      </x:c>
      <x:c r="D61" s="22" t="n">
        <x:v>1469.2</x:v>
      </x:c>
      <x:c r="E61" s="22" t="n">
        <x:v>0</x:v>
      </x:c>
      <x:c r="F61" s="22" t="n">
        <x:v>33166.20999999999</x:v>
      </x:c>
      <x:c r="G61" t="str">
        <x:v>Aidat</x:v>
      </x:c>
      <x:c r="H61" t="str">
        <x:v>B005-R005-05</x:v>
      </x:c>
    </x:row>
    <x:row r="62">
      <x:c r="A62" s="20" t="n">
        <x:v>46147</x:v>
      </x:c>
      <x:c r="B62" t="str">
        <x:v>Mayıs ortak alan elektrik</x:v>
      </x:c>
      <x:c r="C62" t="str">
        <x:v>Çıkış</x:v>
      </x:c>
      <x:c r="D62" s="22" t="n">
        <x:v>0</x:v>
      </x:c>
      <x:c r="E62" s="22" t="n">
        <x:v>1810</x:v>
      </x:c>
      <x:c r="F62" s="22" t="n">
        <x:v>31356.209999999992</x:v>
      </x:c>
      <x:c r="G62" t="str">
        <x:v>Ortak Alan Elektrik</x:v>
      </x:c>
      <x:c r="H62" t="str">
        <x:v>B005-G0031</x:v>
      </x:c>
    </x:row>
    <x:row r="63">
      <x:c r="A63" s="20" t="n">
        <x:v>46149</x:v>
      </x:c>
      <x:c r="B63" t="str">
        <x:v>Daire 3 - Cem Kaya 05/2026 aidat</x:v>
      </x:c>
      <x:c r="C63" t="str">
        <x:v>Giriş</x:v>
      </x:c>
      <x:c r="D63" s="22" t="n">
        <x:v>1469.2</x:v>
      </x:c>
      <x:c r="E63" s="22" t="n">
        <x:v>0</x:v>
      </x:c>
      <x:c r="F63" s="22" t="n">
        <x:v>32825.40999999999</x:v>
      </x:c>
      <x:c r="G63" t="str">
        <x:v>Aidat</x:v>
      </x:c>
      <x:c r="H63" t="str">
        <x:v>B005-R003-05</x:v>
      </x:c>
    </x:row>
    <x:row r="64">
      <x:c r="A64" s="20" t="n">
        <x:v>46149</x:v>
      </x:c>
      <x:c r="B64" t="str">
        <x:v>Daire 7 - Ece Demir 05/2026 aidat</x:v>
      </x:c>
      <x:c r="C64" t="str">
        <x:v>Giriş</x:v>
      </x:c>
      <x:c r="D64" s="22" t="n">
        <x:v>1714.07</x:v>
      </x:c>
      <x:c r="E64" s="22" t="n">
        <x:v>0</x:v>
      </x:c>
      <x:c r="F64" s="22" t="n">
        <x:v>34539.47999999999</x:v>
      </x:c>
      <x:c r="G64" t="str">
        <x:v>Aidat</x:v>
      </x:c>
      <x:c r="H64" t="str">
        <x:v>B005-R007-05</x:v>
      </x:c>
    </x:row>
    <x:row r="65">
      <x:c r="A65" s="20" t="n">
        <x:v>46150</x:v>
      </x:c>
      <x:c r="B65" t="str">
        <x:v>Daire 10 - Selin Doğan 05/2026 aidat</x:v>
      </x:c>
      <x:c r="C65" t="str">
        <x:v>Giriş</x:v>
      </x:c>
      <x:c r="D65" s="22" t="n">
        <x:v>2020.15</x:v>
      </x:c>
      <x:c r="E65" s="22" t="n">
        <x:v>0</x:v>
      </x:c>
      <x:c r="F65" s="22" t="n">
        <x:v>36559.62999999999</x:v>
      </x:c>
      <x:c r="G65" t="str">
        <x:v>Aidat</x:v>
      </x:c>
      <x:c r="H65" t="str">
        <x:v>B005-R010-05</x:v>
      </x:c>
    </x:row>
    <x:row r="66">
      <x:c r="A66" s="20" t="n">
        <x:v>46151</x:v>
      </x:c>
      <x:c r="B66" t="str">
        <x:v>Mayıs ortak alan su</x:v>
      </x:c>
      <x:c r="C66" t="str">
        <x:v>Çıkış</x:v>
      </x:c>
      <x:c r="D66" s="22" t="n">
        <x:v>0</x:v>
      </x:c>
      <x:c r="E66" s="22" t="n">
        <x:v>980</x:v>
      </x:c>
      <x:c r="F66" s="22" t="n">
        <x:v>35579.62999999999</x:v>
      </x:c>
      <x:c r="G66" t="str">
        <x:v>Ortak Alan Su</x:v>
      </x:c>
      <x:c r="H66" t="str">
        <x:v>B005-G0032</x:v>
      </x:c>
    </x:row>
    <x:row r="67">
      <x:c r="A67" s="20" t="n">
        <x:v>46152</x:v>
      </x:c>
      <x:c r="B67" t="str">
        <x:v>Daire 2 - Emre Aslan 05/2026 aidat</x:v>
      </x:c>
      <x:c r="C67" t="str">
        <x:v>Giriş</x:v>
      </x:c>
      <x:c r="D67" s="22" t="n">
        <x:v>1377.38</x:v>
      </x:c>
      <x:c r="E67" s="22" t="n">
        <x:v>0</x:v>
      </x:c>
      <x:c r="F67" s="22" t="n">
        <x:v>36957.00999999999</x:v>
      </x:c>
      <x:c r="G67" t="str">
        <x:v>Aidat</x:v>
      </x:c>
      <x:c r="H67" t="str">
        <x:v>B005-R002-05</x:v>
      </x:c>
    </x:row>
    <x:row r="68">
      <x:c r="A68" s="20" t="n">
        <x:v>46152</x:v>
      </x:c>
      <x:c r="B68" t="str">
        <x:v>Daire 4 - Ece Koç 05/2026 aidat</x:v>
      </x:c>
      <x:c r="C68" t="str">
        <x:v>Giriş</x:v>
      </x:c>
      <x:c r="D68" s="22" t="n">
        <x:v>1469.2</x:v>
      </x:c>
      <x:c r="E68" s="22" t="n">
        <x:v>0</x:v>
      </x:c>
      <x:c r="F68" s="22" t="n">
        <x:v>38426.209999999985</x:v>
      </x:c>
      <x:c r="G68" t="str">
        <x:v>Aidat</x:v>
      </x:c>
      <x:c r="H68" t="str">
        <x:v>B005-R004-05</x:v>
      </x:c>
    </x:row>
    <x:row r="69">
      <x:c r="A69" s="20" t="n">
        <x:v>46153</x:v>
      </x:c>
      <x:c r="B69" t="str">
        <x:v>Daire 8 - Fatma Aksoy 05/2026 aidat</x:v>
      </x:c>
      <x:c r="C69" t="str">
        <x:v>Giriş</x:v>
      </x:c>
      <x:c r="D69" s="22" t="n">
        <x:v>1606.94</x:v>
      </x:c>
      <x:c r="E69" s="22" t="n">
        <x:v>0</x:v>
      </x:c>
      <x:c r="F69" s="22" t="n">
        <x:v>40033.14999999999</x:v>
      </x:c>
      <x:c r="G69" t="str">
        <x:v>Aidat</x:v>
      </x:c>
      <x:c r="H69" t="str">
        <x:v>B005-R008-05</x:v>
      </x:c>
    </x:row>
    <x:row r="70">
      <x:c r="A70" s="20" t="n">
        <x:v>46155</x:v>
      </x:c>
      <x:c r="B70" t="str">
        <x:v>Daire 9 - Kerem Tekin 05/2026 aidat</x:v>
      </x:c>
      <x:c r="C70" t="str">
        <x:v>Giriş</x:v>
      </x:c>
      <x:c r="D70" s="22" t="n">
        <x:v>2219.11</x:v>
      </x:c>
      <x:c r="E70" s="22" t="n">
        <x:v>0</x:v>
      </x:c>
      <x:c r="F70" s="22" t="n">
        <x:v>42252.25999999999</x:v>
      </x:c>
      <x:c r="G70" t="str">
        <x:v>Aidat</x:v>
      </x:c>
      <x:c r="H70" t="str">
        <x:v>B005-R009-05</x:v>
      </x:c>
    </x:row>
    <x:row r="71">
      <x:c r="A71" s="20" t="n">
        <x:v>46155</x:v>
      </x:c>
      <x:c r="B71" t="str">
        <x:v>Aylık asansör bakımı</x:v>
      </x:c>
      <x:c r="C71" t="str">
        <x:v>Çıkış</x:v>
      </x:c>
      <x:c r="D71" s="22" t="n">
        <x:v>0</x:v>
      </x:c>
      <x:c r="E71" s="22" t="n">
        <x:v>2200</x:v>
      </x:c>
      <x:c r="F71" s="22" t="n">
        <x:v>40052.25999999999</x:v>
      </x:c>
      <x:c r="G71" t="str">
        <x:v>Asansör Bakımı</x:v>
      </x:c>
      <x:c r="H71" t="str">
        <x:v>B005-G0033</x:v>
      </x:c>
    </x:row>
    <x:row r="72">
      <x:c r="A72" s="20" t="n">
        <x:v>46157</x:v>
      </x:c>
      <x:c r="B72" t="str">
        <x:v>Daire 1 - Pelin Aslan 05/2026 aidat</x:v>
      </x:c>
      <x:c r="C72" t="str">
        <x:v>Giriş</x:v>
      </x:c>
      <x:c r="D72" s="22" t="n">
        <x:v>857.03</x:v>
      </x:c>
      <x:c r="E72" s="22" t="n">
        <x:v>0</x:v>
      </x:c>
      <x:c r="F72" s="22" t="n">
        <x:v>40909.289999999986</x:v>
      </x:c>
      <x:c r="G72" t="str">
        <x:v>Aidat</x:v>
      </x:c>
      <x:c r="H72" t="str">
        <x:v>B005-R001-05</x:v>
      </x:c>
    </x:row>
    <x:row r="73">
      <x:c r="A73" s="20" t="n">
        <x:v>46157</x:v>
      </x:c>
      <x:c r="B73" t="str">
        <x:v>Daire 6 - Nihan Demir 05/2026 aidat</x:v>
      </x:c>
      <x:c r="C73" t="str">
        <x:v>Giriş</x:v>
      </x:c>
      <x:c r="D73" s="22" t="n">
        <x:v>520.34</x:v>
      </x:c>
      <x:c r="E73" s="22" t="n">
        <x:v>0</x:v>
      </x:c>
      <x:c r="F73" s="22" t="n">
        <x:v>41429.62999999998</x:v>
      </x:c>
      <x:c r="G73" t="str">
        <x:v>Aidat</x:v>
      </x:c>
      <x:c r="H73" t="str">
        <x:v>B005-R006-05</x:v>
      </x:c>
    </x:row>
    <x:row r="74">
      <x:c r="A74" s="20" t="n">
        <x:v>46159</x:v>
      </x:c>
      <x:c r="B74" t="str">
        <x:v>Jeneratör yağ ve filtre bakımı</x:v>
      </x:c>
      <x:c r="C74" t="str">
        <x:v>Çıkış</x:v>
      </x:c>
      <x:c r="D74" s="22" t="n">
        <x:v>0</x:v>
      </x:c>
      <x:c r="E74" s="22" t="n">
        <x:v>3600</x:v>
      </x:c>
      <x:c r="F74" s="22" t="n">
        <x:v>37829.62999999998</x:v>
      </x:c>
      <x:c r="G74" t="str">
        <x:v>Jeneratör Bakımı</x:v>
      </x:c>
      <x:c r="H74" t="str">
        <x:v>B005-G0034</x:v>
      </x:c>
    </x:row>
    <x:row r="75">
      <x:c r="A75" s="20" t="n">
        <x:v>46167</x:v>
      </x:c>
      <x:c r="B75" t="str">
        <x:v>Yönetim hizmet bedeli</x:v>
      </x:c>
      <x:c r="C75" t="str">
        <x:v>Çıkış</x:v>
      </x:c>
      <x:c r="D75" s="22" t="n">
        <x:v>0</x:v>
      </x:c>
      <x:c r="E75" s="22" t="n">
        <x:v>2500</x:v>
      </x:c>
      <x:c r="F75" s="22" t="n">
        <x:v>35329.62999999998</x:v>
      </x:c>
      <x:c r="G75" t="str">
        <x:v>Yönetim Hizmeti</x:v>
      </x:c>
      <x:c r="H75" t="str">
        <x:v>B005-G0036</x:v>
      </x:c>
    </x:row>
    <x:row r="76">
      <x:c r="A76" s="20" t="n">
        <x:v>46177</x:v>
      </x:c>
      <x:c r="B76" t="str">
        <x:v>Daire 1 - Pelin Aslan 06/2026 aidat</x:v>
      </x:c>
      <x:c r="C76" t="str">
        <x:v>Giriş</x:v>
      </x:c>
      <x:c r="D76" s="22" t="n">
        <x:v>1500.08</x:v>
      </x:c>
      <x:c r="E76" s="22" t="n">
        <x:v>0</x:v>
      </x:c>
      <x:c r="F76" s="22" t="n">
        <x:v>36829.709999999985</x:v>
      </x:c>
      <x:c r="G76" t="str">
        <x:v>Aidat</x:v>
      </x:c>
      <x:c r="H76" t="str">
        <x:v>B005-R001-06</x:v>
      </x:c>
    </x:row>
    <x:row r="77">
      <x:c r="A77" s="20" t="n">
        <x:v>46178</x:v>
      </x:c>
      <x:c r="B77" t="str">
        <x:v>Daire 5 - Fatma Yıldız 06/2026 aidat</x:v>
      </x:c>
      <x:c r="C77" t="str">
        <x:v>Giriş</x:v>
      </x:c>
      <x:c r="D77" s="22" t="n">
        <x:v>1285.78</x:v>
      </x:c>
      <x:c r="E77" s="22" t="n">
        <x:v>0</x:v>
      </x:c>
      <x:c r="F77" s="22" t="n">
        <x:v>38115.48999999998</x:v>
      </x:c>
      <x:c r="G77" t="str">
        <x:v>Aidat</x:v>
      </x:c>
      <x:c r="H77" t="str">
        <x:v>B005-R005-06</x:v>
      </x:c>
    </x:row>
    <x:row r="78">
      <x:c r="A78" s="20" t="n">
        <x:v>46178</x:v>
      </x:c>
      <x:c r="B78" t="str">
        <x:v>Haziran ortak alan elektrik</x:v>
      </x:c>
      <x:c r="C78" t="str">
        <x:v>Çıkış</x:v>
      </x:c>
      <x:c r="D78" s="22" t="n">
        <x:v>0</x:v>
      </x:c>
      <x:c r="E78" s="22" t="n">
        <x:v>1940</x:v>
      </x:c>
      <x:c r="F78" s="22" t="n">
        <x:v>36175.48999999998</x:v>
      </x:c>
      <x:c r="G78" t="str">
        <x:v>Ortak Alan Elektrik</x:v>
      </x:c>
      <x:c r="H78" t="str">
        <x:v>B005-G0037</x:v>
      </x:c>
    </x:row>
    <x:row r="79">
      <x:c r="A79" s="20" t="n">
        <x:v>46179</x:v>
      </x:c>
      <x:c r="B79" t="str">
        <x:v>Daire 9 - Kerem Tekin 06/2026 aidat</x:v>
      </x:c>
      <x:c r="C79" t="str">
        <x:v>Giriş</x:v>
      </x:c>
      <x:c r="D79" s="22" t="n">
        <x:v>1942.06</x:v>
      </x:c>
      <x:c r="E79" s="22" t="n">
        <x:v>0</x:v>
      </x:c>
      <x:c r="F79" s="22" t="n">
        <x:v>38117.54999999998</x:v>
      </x:c>
      <x:c r="G79" t="str">
        <x:v>Aidat</x:v>
      </x:c>
      <x:c r="H79" t="str">
        <x:v>B005-R009-06</x:v>
      </x:c>
    </x:row>
    <x:row r="80">
      <x:c r="A80" s="20" t="n">
        <x:v>46181</x:v>
      </x:c>
      <x:c r="B80" t="str">
        <x:v>Daire 2 - Emre Aslan 06/2026 aidat</x:v>
      </x:c>
      <x:c r="C80" t="str">
        <x:v>Giriş</x:v>
      </x:c>
      <x:c r="D80" s="22" t="n">
        <x:v>1205.42</x:v>
      </x:c>
      <x:c r="E80" s="22" t="n">
        <x:v>0</x:v>
      </x:c>
      <x:c r="F80" s="22" t="n">
        <x:v>39322.96999999998</x:v>
      </x:c>
      <x:c r="G80" t="str">
        <x:v>Aidat</x:v>
      </x:c>
      <x:c r="H80" t="str">
        <x:v>B005-R002-06</x:v>
      </x:c>
    </x:row>
    <x:row r="81">
      <x:c r="A81" s="20" t="n">
        <x:v>46182</x:v>
      </x:c>
      <x:c r="B81" t="str">
        <x:v>Haziran ortak alan su</x:v>
      </x:c>
      <x:c r="C81" t="str">
        <x:v>Çıkış</x:v>
      </x:c>
      <x:c r="D81" s="22" t="n">
        <x:v>0</x:v>
      </x:c>
      <x:c r="E81" s="22" t="n">
        <x:v>1020</x:v>
      </x:c>
      <x:c r="F81" s="22" t="n">
        <x:v>38302.96999999998</x:v>
      </x:c>
      <x:c r="G81" t="str">
        <x:v>Ortak Alan Su</x:v>
      </x:c>
      <x:c r="H81" t="str">
        <x:v>B005-G0038</x:v>
      </x:c>
    </x:row>
    <x:row r="82">
      <x:c r="A82" s="20" t="n">
        <x:v>46183</x:v>
      </x:c>
      <x:c r="B82" t="str">
        <x:v>Daire 3 - Cem Kaya 06/2026 aidat</x:v>
      </x:c>
      <x:c r="C82" t="str">
        <x:v>Giriş</x:v>
      </x:c>
      <x:c r="D82" s="22" t="n">
        <x:v>1285.78</x:v>
      </x:c>
      <x:c r="E82" s="22" t="n">
        <x:v>0</x:v>
      </x:c>
      <x:c r="F82" s="22" t="n">
        <x:v>39588.74999999998</x:v>
      </x:c>
      <x:c r="G82" t="str">
        <x:v>Aidat</x:v>
      </x:c>
      <x:c r="H82" t="str">
        <x:v>B005-R003-06</x:v>
      </x:c>
    </x:row>
    <x:row r="83">
      <x:c r="A83" s="20" t="n">
        <x:v>46183</x:v>
      </x:c>
      <x:c r="B83" t="str">
        <x:v>Daire 4 - Ece Koç 06/2026 aidat</x:v>
      </x:c>
      <x:c r="C83" t="str">
        <x:v>Giriş</x:v>
      </x:c>
      <x:c r="D83" s="22" t="n">
        <x:v>1285.78</x:v>
      </x:c>
      <x:c r="E83" s="22" t="n">
        <x:v>0</x:v>
      </x:c>
      <x:c r="F83" s="22" t="n">
        <x:v>40874.52999999998</x:v>
      </x:c>
      <x:c r="G83" t="str">
        <x:v>Aidat</x:v>
      </x:c>
      <x:c r="H83" t="str">
        <x:v>B005-R004-06</x:v>
      </x:c>
    </x:row>
    <x:row r="84">
      <x:c r="A84" s="20" t="n">
        <x:v>46183</x:v>
      </x:c>
      <x:c r="B84" t="str">
        <x:v>Daire 7 - Ece Demir 06/2026 aidat</x:v>
      </x:c>
      <x:c r="C84" t="str">
        <x:v>Giriş</x:v>
      </x:c>
      <x:c r="D84" s="22" t="n">
        <x:v>1500.08</x:v>
      </x:c>
      <x:c r="E84" s="22" t="n">
        <x:v>0</x:v>
      </x:c>
      <x:c r="F84" s="22" t="n">
        <x:v>42374.60999999998</x:v>
      </x:c>
      <x:c r="G84" t="str">
        <x:v>Aidat</x:v>
      </x:c>
      <x:c r="H84" t="str">
        <x:v>B005-R007-06</x:v>
      </x:c>
    </x:row>
    <x:row r="85">
      <x:c r="A85" s="20" t="n">
        <x:v>46183</x:v>
      </x:c>
      <x:c r="B85" t="str">
        <x:v>Daire 10 - Selin Doğan 06/2026 aidat</x:v>
      </x:c>
      <x:c r="C85" t="str">
        <x:v>Giriş</x:v>
      </x:c>
      <x:c r="D85" s="22" t="n">
        <x:v>1767.95</x:v>
      </x:c>
      <x:c r="E85" s="22" t="n">
        <x:v>0</x:v>
      </x:c>
      <x:c r="F85" s="22" t="n">
        <x:v>44142.559999999976</x:v>
      </x:c>
      <x:c r="G85" t="str">
        <x:v>Aidat</x:v>
      </x:c>
      <x:c r="H85" t="str">
        <x:v>B005-R010-06</x:v>
      </x:c>
    </x:row>
    <x:row r="86">
      <x:c r="A86" s="20" t="n">
        <x:v>46185</x:v>
      </x:c>
      <x:c r="B86" t="str">
        <x:v>Daire 6 - Nihan Demir 06/2026 aidat</x:v>
      </x:c>
      <x:c r="C86" t="str">
        <x:v>Giriş</x:v>
      </x:c>
      <x:c r="D86" s="22" t="n">
        <x:v>910.76</x:v>
      </x:c>
      <x:c r="E86" s="22" t="n">
        <x:v>0</x:v>
      </x:c>
      <x:c r="F86" s="22" t="n">
        <x:v>45053.31999999998</x:v>
      </x:c>
      <x:c r="G86" t="str">
        <x:v>Aidat</x:v>
      </x:c>
      <x:c r="H86" t="str">
        <x:v>B005-R006-06</x:v>
      </x:c>
    </x:row>
    <x:row r="87">
      <x:c r="A87" s="20" t="n">
        <x:v>46186</x:v>
      </x:c>
      <x:c r="B87" t="str">
        <x:v>Daire 8 - Fatma Aksoy 06/2026 aidat</x:v>
      </x:c>
      <x:c r="C87" t="str">
        <x:v>Giriş</x:v>
      </x:c>
      <x:c r="D87" s="22" t="n">
        <x:v>1406.32</x:v>
      </x:c>
      <x:c r="E87" s="22" t="n">
        <x:v>0</x:v>
      </x:c>
      <x:c r="F87" s="22" t="n">
        <x:v>46459.63999999998</x:v>
      </x:c>
      <x:c r="G87" t="str">
        <x:v>Aidat</x:v>
      </x:c>
      <x:c r="H87" t="str">
        <x:v>B005-R008-06</x:v>
      </x:c>
    </x:row>
    <x:row r="88">
      <x:c r="A88" s="20" t="n">
        <x:v>46186</x:v>
      </x:c>
      <x:c r="B88" t="str">
        <x:v>Aylık asansör bakımı</x:v>
      </x:c>
      <x:c r="C88" t="str">
        <x:v>Çıkış</x:v>
      </x:c>
      <x:c r="D88" s="22" t="n">
        <x:v>0</x:v>
      </x:c>
      <x:c r="E88" s="22" t="n">
        <x:v>2200</x:v>
      </x:c>
      <x:c r="F88" s="22" t="n">
        <x:v>44259.63999999998</x:v>
      </x:c>
      <x:c r="G88" t="str">
        <x:v>Asansör Bakımı</x:v>
      </x:c>
      <x:c r="H88" t="str">
        <x:v>B005-G0039</x:v>
      </x:c>
    </x:row>
    <x:row r="89">
      <x:c r="A89" s="20" t="n">
        <x:v>46198</x:v>
      </x:c>
      <x:c r="B89" t="str">
        <x:v>Yönetim hizmet bedeli</x:v>
      </x:c>
      <x:c r="C89" t="str">
        <x:v>Çıkış</x:v>
      </x:c>
      <x:c r="D89" s="22" t="n">
        <x:v>0</x:v>
      </x:c>
      <x:c r="E89" s="22" t="n">
        <x:v>2500</x:v>
      </x:c>
      <x:c r="F89" s="22" t="n">
        <x:v>41759.63999999998</x:v>
      </x:c>
      <x:c r="G89" t="str">
        <x:v>Yönetim Hizmeti</x:v>
      </x:c>
      <x:c r="H89" t="str">
        <x:v>B005-G0042</x:v>
      </x:c>
    </x:row>
    <x:row r="90">
      <x:c r="A90" s="20" t="n">
        <x:v>46207</x:v>
      </x:c>
      <x:c r="B90" t="str">
        <x:v>Daire 4 - Ece Koç 07/2026 aidat</x:v>
      </x:c>
      <x:c r="C90" t="str">
        <x:v>Giriş</x:v>
      </x:c>
      <x:c r="D90" s="22" t="n">
        <x:v>2587.98</x:v>
      </x:c>
      <x:c r="E90" s="22" t="n">
        <x:v>0</x:v>
      </x:c>
      <x:c r="F90" s="22" t="n">
        <x:v>44347.61999999998</x:v>
      </x:c>
      <x:c r="G90" t="str">
        <x:v>Aidat</x:v>
      </x:c>
      <x:c r="H90" t="str">
        <x:v>B005-R004-07</x:v>
      </x:c>
    </x:row>
    <x:row r="91">
      <x:c r="A91" s="20" t="n">
        <x:v>46208</x:v>
      </x:c>
      <x:c r="B91" t="str">
        <x:v>Daire 5 - Fatma Yıldız 07/2026 aidat</x:v>
      </x:c>
      <x:c r="C91" t="str">
        <x:v>Giriş</x:v>
      </x:c>
      <x:c r="D91" s="22" t="n">
        <x:v>2587.98</x:v>
      </x:c>
      <x:c r="E91" s="22" t="n">
        <x:v>0</x:v>
      </x:c>
      <x:c r="F91" s="22" t="n">
        <x:v>46935.599999999984</x:v>
      </x:c>
      <x:c r="G91" t="str">
        <x:v>Aidat</x:v>
      </x:c>
      <x:c r="H91" t="str">
        <x:v>B005-R005-07</x:v>
      </x:c>
    </x:row>
    <x:row r="92">
      <x:c r="A92" s="20" t="n">
        <x:v>46208</x:v>
      </x:c>
      <x:c r="B92" t="str">
        <x:v>Daire 10 - Selin Doğan 07/2026 aidat</x:v>
      </x:c>
      <x:c r="C92" t="str">
        <x:v>Giriş</x:v>
      </x:c>
      <x:c r="D92" s="22" t="n">
        <x:v>3558.48</x:v>
      </x:c>
      <x:c r="E92" s="22" t="n">
        <x:v>0</x:v>
      </x:c>
      <x:c r="F92" s="22" t="n">
        <x:v>50494.07999999999</x:v>
      </x:c>
      <x:c r="G92" t="str">
        <x:v>Aidat</x:v>
      </x:c>
      <x:c r="H92" t="str">
        <x:v>B005-R010-07</x:v>
      </x:c>
    </x:row>
    <x:row r="93">
      <x:c r="A93" s="20" t="n">
        <x:v>46209</x:v>
      </x:c>
      <x:c r="B93" t="str">
        <x:v>Daire 1 - Pelin Aslan 07/2026 aidat</x:v>
      </x:c>
      <x:c r="C93" t="str">
        <x:v>Giriş</x:v>
      </x:c>
      <x:c r="D93" s="22" t="n">
        <x:v>3019.32</x:v>
      </x:c>
      <x:c r="E93" s="22" t="n">
        <x:v>0</x:v>
      </x:c>
      <x:c r="F93" s="22" t="n">
        <x:v>53513.39999999999</x:v>
      </x:c>
      <x:c r="G93" t="str">
        <x:v>Aidat</x:v>
      </x:c>
      <x:c r="H93" t="str">
        <x:v>B005-R001-07</x:v>
      </x:c>
    </x:row>
    <x:row r="94">
      <x:c r="A94" s="20" t="n">
        <x:v>46209</x:v>
      </x:c>
      <x:c r="B94" t="str">
        <x:v>Daire 3 - Cem Kaya 07/2026 aidat</x:v>
      </x:c>
      <x:c r="C94" t="str">
        <x:v>Giriş</x:v>
      </x:c>
      <x:c r="D94" s="22" t="n">
        <x:v>2587.98</x:v>
      </x:c>
      <x:c r="E94" s="22" t="n">
        <x:v>0</x:v>
      </x:c>
      <x:c r="F94" s="22" t="n">
        <x:v>56101.37999999999</x:v>
      </x:c>
      <x:c r="G94" t="str">
        <x:v>Aidat</x:v>
      </x:c>
      <x:c r="H94" t="str">
        <x:v>B005-R003-07</x:v>
      </x:c>
    </x:row>
    <x:row r="95">
      <x:c r="A95" s="20" t="n">
        <x:v>46213</x:v>
      </x:c>
      <x:c r="B95" t="str">
        <x:v>Daire 8 - Fatma Aksoy 07/2026 aidat</x:v>
      </x:c>
      <x:c r="C95" t="str">
        <x:v>Giriş</x:v>
      </x:c>
      <x:c r="D95" s="22" t="n">
        <x:v>2830.61</x:v>
      </x:c>
      <x:c r="E95" s="22" t="n">
        <x:v>0</x:v>
      </x:c>
      <x:c r="F95" s="22" t="n">
        <x:v>58931.98999999999</x:v>
      </x:c>
      <x:c r="G95" t="str">
        <x:v>Aidat</x:v>
      </x:c>
      <x:c r="H95" t="str">
        <x:v>B005-R008-07</x:v>
      </x:c>
    </x:row>
    <x:row r="96">
      <x:c r="A96" s="20" t="n">
        <x:v>46214</x:v>
      </x:c>
      <x:c r="B96" t="str">
        <x:v>Daire 2 - Emre Aslan 07/2026 aidat</x:v>
      </x:c>
      <x:c r="C96" t="str">
        <x:v>Giriş</x:v>
      </x:c>
      <x:c r="D96" s="22" t="n">
        <x:v>2426.24</x:v>
      </x:c>
      <x:c r="E96" s="22" t="n">
        <x:v>0</x:v>
      </x:c>
      <x:c r="F96" s="22" t="n">
        <x:v>61358.22999999999</x:v>
      </x:c>
      <x:c r="G96" t="str">
        <x:v>Aidat</x:v>
      </x:c>
      <x:c r="H96" t="str">
        <x:v>B005-R002-07</x:v>
      </x:c>
    </x:row>
    <x:row r="97">
      <x:c r="A97" s="20" t="n">
        <x:v>46214</x:v>
      </x:c>
      <x:c r="B97" t="str">
        <x:v>Daire 6 - Nihan Demir 07/2026 aidat</x:v>
      </x:c>
      <x:c r="C97" t="str">
        <x:v>Giriş</x:v>
      </x:c>
      <x:c r="D97" s="22" t="n">
        <x:v>1833.16</x:v>
      </x:c>
      <x:c r="E97" s="22" t="n">
        <x:v>0</x:v>
      </x:c>
      <x:c r="F97" s="22" t="n">
        <x:v>63191.38999999999</x:v>
      </x:c>
      <x:c r="G97" t="str">
        <x:v>Aidat</x:v>
      </x:c>
      <x:c r="H97" t="str">
        <x:v>B005-R006-07</x:v>
      </x:c>
    </x:row>
    <x:row r="98">
      <x:c r="A98" s="20" t="n">
        <x:v>46215</x:v>
      </x:c>
      <x:c r="B98" t="str">
        <x:v>Daire 7 - Ece Demir 07/2026 aidat</x:v>
      </x:c>
      <x:c r="C98" t="str">
        <x:v>Giriş</x:v>
      </x:c>
      <x:c r="D98" s="22" t="n">
        <x:v>3019.32</x:v>
      </x:c>
      <x:c r="E98" s="22" t="n">
        <x:v>0</x:v>
      </x:c>
      <x:c r="F98" s="22" t="n">
        <x:v>66210.70999999999</x:v>
      </x:c>
      <x:c r="G98" t="str">
        <x:v>Aidat</x:v>
      </x:c>
      <x:c r="H98" t="str">
        <x:v>B005-R007-07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Pelin Aslan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B005-R001</x:v>
      </x:c>
    </x:row>
    <x:row r="4">
      <x:c r="A4" s="7" t="str">
        <x:v>Ad Soyad</x:v>
      </x:c>
      <x:c r="B4" t="str">
        <x:v>Pelin Aslan</x:v>
      </x:c>
    </x:row>
    <x:row r="5">
      <x:c r="A5" s="7" t="str">
        <x:v>Daire No</x:v>
      </x:c>
      <x:c r="B5" t="n">
        <x:v>1</x:v>
      </x:c>
    </x:row>
    <x:row r="6">
      <x:c r="A6" s="7" t="str">
        <x:v>Net m²</x:v>
      </x:c>
      <x:c r="B6" s="16" t="n">
        <x:v>112</x:v>
      </x:c>
    </x:row>
    <x:row r="7">
      <x:c r="A7" s="7" t="str">
        <x:v>Ortak Gider Payı</x:v>
      </x:c>
      <x:c r="B7" s="18" t="n">
        <x:v>0.10646387832699619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165.0190114068441</x:v>
      </x:c>
      <x:c r="D11" s="22" t="n">
        <x:v>87.30038022813687</x:v>
      </x:c>
      <x:c r="E11" s="22" t="n">
        <x:v>223.574144486692</x:v>
      </x:c>
      <x:c r="F11" s="22" t="n">
        <x:v>191.63498098859316</x:v>
      </x:c>
      <x:c r="G11" s="22" t="n">
        <x:v>0</x:v>
      </x:c>
      <x:c r="H11" s="22" t="n">
        <x:v>0</x:v>
      </x:c>
      <x:c r="I11" s="22" t="n">
        <x:v>298.0988593155893</x:v>
      </x:c>
      <x:c r="J11" s="22" t="n">
        <x:v>0</x:v>
      </x:c>
      <x:c r="K11" s="22" t="n">
        <x:v>0</x:v>
      </x:c>
      <x:c r="L11" s="22" t="n">
        <x:v>0</x:v>
      </x:c>
      <x:c r="M11" s="22" t="n">
        <x:v>266.1596958174905</x:v>
      </x:c>
      <x:c r="N11" s="22" t="n">
        <x:v>1231.7870722433458</x:v>
      </x:c>
      <x:c r="O11" s="22" t="n">
        <x:v>1231.79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175.66539923954372</x:v>
      </x:c>
      <x:c r="D12" s="22" t="n">
        <x:v>90.49429657794677</x:v>
      </x:c>
      <x:c r="E12" s="22" t="n">
        <x:v>223.574144486692</x:v>
      </x:c>
      <x:c r="F12" s="22" t="n">
        <x:v>0</x:v>
      </x:c>
      <x:c r="G12" s="22" t="n">
        <x:v>340.6844106463878</x:v>
      </x:c>
      <x:c r="H12" s="22" t="n">
        <x:v>0</x:v>
      </x:c>
      <x:c r="I12" s="22" t="n">
        <x:v>298.0988593155893</x:v>
      </x:c>
      <x:c r="J12" s="22" t="n">
        <x:v>0</x:v>
      </x:c>
      <x:c r="K12" s="22" t="n">
        <x:v>0</x:v>
      </x:c>
      <x:c r="L12" s="22" t="n">
        <x:v>0</x:v>
      </x:c>
      <x:c r="M12" s="22" t="n">
        <x:v>266.1596958174905</x:v>
      </x:c>
      <x:c r="N12" s="22" t="n">
        <x:v>1394.67680608365</x:v>
      </x:c>
      <x:c r="O12" s="22" t="n">
        <x:v>1394.68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183.11787072243345</x:v>
      </x:c>
      <x:c r="D13" s="22" t="n">
        <x:v>97.94676806083649</x:v>
      </x:c>
      <x:c r="E13" s="22" t="n">
        <x:v>223.574144486692</x:v>
      </x:c>
      <x:c r="F13" s="22" t="n">
        <x:v>255.51330798479086</x:v>
      </x:c>
      <x:c r="G13" s="22" t="n">
        <x:v>0</x:v>
      </x:c>
      <x:c r="H13" s="22" t="n">
        <x:v>447.148288973384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266.1596958174905</x:v>
      </x:c>
      <x:c r="N13" s="22" t="n">
        <x:v>1473.4600760456274</x:v>
      </x:c>
      <x:c r="O13" s="22" t="n">
        <x:v>1473.46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168.21292775665398</x:v>
      </x:c>
      <x:c r="D14" s="22" t="n">
        <x:v>94.75285171102661</x:v>
      </x:c>
      <x:c r="E14" s="22" t="n">
        <x:v>223.574144486692</x:v>
      </x:c>
      <x:c r="F14" s="22" t="n">
        <x:v>0</x:v>
      </x:c>
      <x:c r="G14" s="22" t="n">
        <x:v>0</x:v>
      </x:c>
      <x:c r="H14" s="22" t="n">
        <x:v>0</x:v>
      </x:c>
      <x:c r="I14" s="22" t="n">
        <x:v>319.39163498098856</x:v>
      </x:c>
      <x:c r="J14" s="22" t="n">
        <x:v>0</x:v>
      </x:c>
      <x:c r="K14" s="22" t="n">
        <x:v>404.56273764258555</x:v>
      </x:c>
      <x:c r="L14" s="22" t="n">
        <x:v>0</x:v>
      </x:c>
      <x:c r="M14" s="22" t="n">
        <x:v>266.1596958174905</x:v>
      </x:c>
      <x:c r="N14" s="22" t="n">
        <x:v>1476.6539923954372</x:v>
      </x:c>
      <x:c r="O14" s="22" t="n">
        <x:v>1476.65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179.92395437262357</x:v>
      </x:c>
      <x:c r="D15" s="22" t="n">
        <x:v>96.88212927756653</x:v>
      </x:c>
      <x:c r="E15" s="22" t="n">
        <x:v>234.22053231939162</x:v>
      </x:c>
      <x:c r="F15" s="22" t="n">
        <x:v>0</x:v>
      </x:c>
      <x:c r="G15" s="22" t="n">
        <x:v>660.0760456273764</x:v>
      </x:c>
      <x:c r="H15" s="22" t="n">
        <x:v>0</x:v>
      </x:c>
      <x:c r="I15" s="22" t="n">
        <x:v>0</x:v>
      </x:c>
      <x:c r="J15" s="22" t="n">
        <x:v>276.8060836501901</x:v>
      </x:c>
      <x:c r="K15" s="22" t="n">
        <x:v>0</x:v>
      </x:c>
      <x:c r="L15" s="22" t="n">
        <x:v>0</x:v>
      </x:c>
      <x:c r="M15" s="22" t="n">
        <x:v>266.1596958174905</x:v>
      </x:c>
      <x:c r="N15" s="22" t="n">
        <x:v>1714.0684410646388</x:v>
      </x:c>
      <x:c r="O15" s="22" t="n">
        <x:v>857.03</x:v>
      </x:c>
      <x:c r="P15" s="22" t="n">
        <x:v>857.04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192.6996197718631</x:v>
      </x:c>
      <x:c r="D16" s="22" t="n">
        <x:v>104.33460076045627</x:v>
      </x:c>
      <x:c r="E16" s="22" t="n">
        <x:v>234.22053231939162</x:v>
      </x:c>
      <x:c r="F16" s="22" t="n">
        <x:v>383.2699619771863</x:v>
      </x:c>
      <x:c r="G16" s="22" t="n">
        <x:v>0</x:v>
      </x:c>
      <x:c r="H16" s="22" t="n">
        <x:v>0</x:v>
      </x:c>
      <x:c r="I16" s="22" t="n">
        <x:v>319.39163498098856</x:v>
      </x:c>
      <x:c r="J16" s="22" t="n">
        <x:v>0</x:v>
      </x:c>
      <x:c r="K16" s="22" t="n">
        <x:v>0</x:v>
      </x:c>
      <x:c r="L16" s="22" t="n">
        <x:v>0</x:v>
      </x:c>
      <x:c r="M16" s="22" t="n">
        <x:v>266.1596958174905</x:v>
      </x:c>
      <x:c r="N16" s="22" t="n">
        <x:v>1500.0760456273763</x:v>
      </x:c>
      <x:c r="O16" s="22" t="n">
        <x:v>1500.08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206.53992395437263</x:v>
      </x:c>
      <x:c r="D17" s="22" t="n">
        <x:v>108.59315589353612</x:v>
      </x:c>
      <x:c r="E17" s="22" t="n">
        <x:v>234.22053231939162</x:v>
      </x:c>
      <x:c r="F17" s="22" t="n">
        <x:v>0</x:v>
      </x:c>
      <x:c r="G17" s="22" t="n">
        <x:v>0</x:v>
      </x:c>
      <x:c r="H17" s="22" t="n">
        <x:v>0</x:v>
      </x:c>
      <x:c r="I17" s="22" t="n">
        <x:v>340.6844106463878</x:v>
      </x:c>
      <x:c r="J17" s="22" t="n">
        <x:v>0</x:v>
      </x:c>
      <x:c r="K17" s="22" t="n">
        <x:v>0</x:v>
      </x:c>
      <x:c r="L17" s="22" t="n">
        <x:v>1863.1178707224333</x:v>
      </x:c>
      <x:c r="M17" s="22" t="n">
        <x:v>266.1596958174905</x:v>
      </x:c>
      <x:c r="N17" s="22" t="n">
        <x:v>3019.315589353612</x:v>
      </x:c>
      <x:c r="O17" s="22" t="n">
        <x:v>3019.32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Emre Aslan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B005-R002</x:v>
      </x:c>
    </x:row>
    <x:row r="4">
      <x:c r="A4" s="7" t="str">
        <x:v>Ad Soyad</x:v>
      </x:c>
      <x:c r="B4" t="str">
        <x:v>Emre Aslan</x:v>
      </x:c>
    </x:row>
    <x:row r="5">
      <x:c r="A5" s="7" t="str">
        <x:v>Daire No</x:v>
      </x:c>
      <x:c r="B5" t="n">
        <x:v>2</x:v>
      </x:c>
    </x:row>
    <x:row r="6">
      <x:c r="A6" s="7" t="str">
        <x:v>Net m²</x:v>
      </x:c>
      <x:c r="B6" s="16" t="n">
        <x:v>90</x:v>
      </x:c>
    </x:row>
    <x:row r="7">
      <x:c r="A7" s="7" t="str">
        <x:v>Ortak Gider Payı</x:v>
      </x:c>
      <x:c r="B7" s="18" t="n">
        <x:v>0.08555133079847908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132.60456273764257</x:v>
      </x:c>
      <x:c r="D11" s="22" t="n">
        <x:v>70.15209125475285</x:v>
      </x:c>
      <x:c r="E11" s="22" t="n">
        <x:v>179.65779467680608</x:v>
      </x:c>
      <x:c r="F11" s="22" t="n">
        <x:v>153.99239543726236</x:v>
      </x:c>
      <x:c r="G11" s="22" t="n">
        <x:v>0</x:v>
      </x:c>
      <x:c r="H11" s="22" t="n">
        <x:v>0</x:v>
      </x:c>
      <x:c r="I11" s="22" t="n">
        <x:v>239.54372623574145</x:v>
      </x:c>
      <x:c r="J11" s="22" t="n">
        <x:v>0</x:v>
      </x:c>
      <x:c r="K11" s="22" t="n">
        <x:v>0</x:v>
      </x:c>
      <x:c r="L11" s="22" t="n">
        <x:v>0</x:v>
      </x:c>
      <x:c r="M11" s="22" t="n">
        <x:v>213.8783269961977</x:v>
      </x:c>
      <x:c r="N11" s="22" t="n">
        <x:v>989.828897338403</x:v>
      </x:c>
      <x:c r="O11" s="22" t="n">
        <x:v>989.83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141.1596958174905</x:v>
      </x:c>
      <x:c r="D12" s="22" t="n">
        <x:v>72.71863117870723</x:v>
      </x:c>
      <x:c r="E12" s="22" t="n">
        <x:v>179.65779467680608</x:v>
      </x:c>
      <x:c r="F12" s="22" t="n">
        <x:v>0</x:v>
      </x:c>
      <x:c r="G12" s="22" t="n">
        <x:v>273.76425855513304</x:v>
      </x:c>
      <x:c r="H12" s="22" t="n">
        <x:v>0</x:v>
      </x:c>
      <x:c r="I12" s="22" t="n">
        <x:v>239.54372623574145</x:v>
      </x:c>
      <x:c r="J12" s="22" t="n">
        <x:v>0</x:v>
      </x:c>
      <x:c r="K12" s="22" t="n">
        <x:v>0</x:v>
      </x:c>
      <x:c r="L12" s="22" t="n">
        <x:v>0</x:v>
      </x:c>
      <x:c r="M12" s="22" t="n">
        <x:v>213.8783269961977</x:v>
      </x:c>
      <x:c r="N12" s="22" t="n">
        <x:v>1120.722433460076</x:v>
      </x:c>
      <x:c r="O12" s="22" t="n">
        <x:v>1120.72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147.148288973384</x:v>
      </x:c>
      <x:c r="D13" s="22" t="n">
        <x:v>78.70722433460075</x:v>
      </x:c>
      <x:c r="E13" s="22" t="n">
        <x:v>179.65779467680608</x:v>
      </x:c>
      <x:c r="F13" s="22" t="n">
        <x:v>205.3231939163498</x:v>
      </x:c>
      <x:c r="G13" s="22" t="n">
        <x:v>0</x:v>
      </x:c>
      <x:c r="H13" s="22" t="n">
        <x:v>359.31558935361215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213.8783269961977</x:v>
      </x:c>
      <x:c r="N13" s="22" t="n">
        <x:v>1184.0304182509506</x:v>
      </x:c>
      <x:c r="O13" s="22" t="n">
        <x:v>1184.03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135.17110266159696</x:v>
      </x:c>
      <x:c r="D14" s="22" t="n">
        <x:v>76.14068441064639</x:v>
      </x:c>
      <x:c r="E14" s="22" t="n">
        <x:v>179.65779467680608</x:v>
      </x:c>
      <x:c r="F14" s="22" t="n">
        <x:v>0</x:v>
      </x:c>
      <x:c r="G14" s="22" t="n">
        <x:v>0</x:v>
      </x:c>
      <x:c r="H14" s="22" t="n">
        <x:v>0</x:v>
      </x:c>
      <x:c r="I14" s="22" t="n">
        <x:v>256.65399239543723</x:v>
      </x:c>
      <x:c r="J14" s="22" t="n">
        <x:v>0</x:v>
      </x:c>
      <x:c r="K14" s="22" t="n">
        <x:v>325.09505703422053</x:v>
      </x:c>
      <x:c r="L14" s="22" t="n">
        <x:v>0</x:v>
      </x:c>
      <x:c r="M14" s="22" t="n">
        <x:v>213.8783269961977</x:v>
      </x:c>
      <x:c r="N14" s="22" t="n">
        <x:v>1186.5969581749048</x:v>
      </x:c>
      <x:c r="O14" s="22" t="n">
        <x:v>1186.6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144.58174904942965</x:v>
      </x:c>
      <x:c r="D15" s="22" t="n">
        <x:v>77.85171102661596</x:v>
      </x:c>
      <x:c r="E15" s="22" t="n">
        <x:v>188.21292775665398</x:v>
      </x:c>
      <x:c r="F15" s="22" t="n">
        <x:v>0</x:v>
      </x:c>
      <x:c r="G15" s="22" t="n">
        <x:v>530.4182509505703</x:v>
      </x:c>
      <x:c r="H15" s="22" t="n">
        <x:v>0</x:v>
      </x:c>
      <x:c r="I15" s="22" t="n">
        <x:v>0</x:v>
      </x:c>
      <x:c r="J15" s="22" t="n">
        <x:v>222.4334600760456</x:v>
      </x:c>
      <x:c r="K15" s="22" t="n">
        <x:v>0</x:v>
      </x:c>
      <x:c r="L15" s="22" t="n">
        <x:v>0</x:v>
      </x:c>
      <x:c r="M15" s="22" t="n">
        <x:v>213.8783269961977</x:v>
      </x:c>
      <x:c r="N15" s="22" t="n">
        <x:v>1377.3764258555132</x:v>
      </x:c>
      <x:c r="O15" s="22" t="n">
        <x:v>1377.38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154.84790874524714</x:v>
      </x:c>
      <x:c r="D16" s="22" t="n">
        <x:v>83.8403041825095</x:v>
      </x:c>
      <x:c r="E16" s="22" t="n">
        <x:v>188.21292775665398</x:v>
      </x:c>
      <x:c r="F16" s="22" t="n">
        <x:v>307.9847908745247</x:v>
      </x:c>
      <x:c r="G16" s="22" t="n">
        <x:v>0</x:v>
      </x:c>
      <x:c r="H16" s="22" t="n">
        <x:v>0</x:v>
      </x:c>
      <x:c r="I16" s="22" t="n">
        <x:v>256.65399239543723</x:v>
      </x:c>
      <x:c r="J16" s="22" t="n">
        <x:v>0</x:v>
      </x:c>
      <x:c r="K16" s="22" t="n">
        <x:v>0</x:v>
      </x:c>
      <x:c r="L16" s="22" t="n">
        <x:v>0</x:v>
      </x:c>
      <x:c r="M16" s="22" t="n">
        <x:v>213.8783269961977</x:v>
      </x:c>
      <x:c r="N16" s="22" t="n">
        <x:v>1205.4182509505704</x:v>
      </x:c>
      <x:c r="O16" s="22" t="n">
        <x:v>1205.42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165.9695817490494</x:v>
      </x:c>
      <x:c r="D17" s="22" t="n">
        <x:v>87.26235741444866</x:v>
      </x:c>
      <x:c r="E17" s="22" t="n">
        <x:v>188.21292775665398</x:v>
      </x:c>
      <x:c r="F17" s="22" t="n">
        <x:v>0</x:v>
      </x:c>
      <x:c r="G17" s="22" t="n">
        <x:v>0</x:v>
      </x:c>
      <x:c r="H17" s="22" t="n">
        <x:v>0</x:v>
      </x:c>
      <x:c r="I17" s="22" t="n">
        <x:v>273.76425855513304</x:v>
      </x:c>
      <x:c r="J17" s="22" t="n">
        <x:v>0</x:v>
      </x:c>
      <x:c r="K17" s="22" t="n">
        <x:v>0</x:v>
      </x:c>
      <x:c r="L17" s="22" t="n">
        <x:v>1497.148288973384</x:v>
      </x:c>
      <x:c r="M17" s="22" t="n">
        <x:v>213.8783269961977</x:v>
      </x:c>
      <x:c r="N17" s="22" t="n">
        <x:v>2426.235741444867</x:v>
      </x:c>
      <x:c r="O17" s="22" t="n">
        <x:v>2426.24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Cem Kaya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B005-R003</x:v>
      </x:c>
    </x:row>
    <x:row r="4">
      <x:c r="A4" s="7" t="str">
        <x:v>Ad Soyad</x:v>
      </x:c>
      <x:c r="B4" t="str">
        <x:v>Cem Kaya</x:v>
      </x:c>
    </x:row>
    <x:row r="5">
      <x:c r="A5" s="7" t="str">
        <x:v>Daire No</x:v>
      </x:c>
      <x:c r="B5" t="n">
        <x:v>3</x:v>
      </x:c>
    </x:row>
    <x:row r="6">
      <x:c r="A6" s="7" t="str">
        <x:v>Net m²</x:v>
      </x:c>
      <x:c r="B6" s="16" t="n">
        <x:v>96</x:v>
      </x:c>
    </x:row>
    <x:row r="7">
      <x:c r="A7" s="7" t="str">
        <x:v>Ortak Gider Payı</x:v>
      </x:c>
      <x:c r="B7" s="18" t="n">
        <x:v>0.09125475285171103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141.4448669201521</x:v>
      </x:c>
      <x:c r="D11" s="22" t="n">
        <x:v>74.82889733840304</x:v>
      </x:c>
      <x:c r="E11" s="22" t="n">
        <x:v>191.63498098859316</x:v>
      </x:c>
      <x:c r="F11" s="22" t="n">
        <x:v>164.25855513307985</x:v>
      </x:c>
      <x:c r="G11" s="22" t="n">
        <x:v>0</x:v>
      </x:c>
      <x:c r="H11" s="22" t="n">
        <x:v>0</x:v>
      </x:c>
      <x:c r="I11" s="22" t="n">
        <x:v>255.51330798479088</x:v>
      </x:c>
      <x:c r="J11" s="22" t="n">
        <x:v>0</x:v>
      </x:c>
      <x:c r="K11" s="22" t="n">
        <x:v>0</x:v>
      </x:c>
      <x:c r="L11" s="22" t="n">
        <x:v>0</x:v>
      </x:c>
      <x:c r="M11" s="22" t="n">
        <x:v>228.13688212927758</x:v>
      </x:c>
      <x:c r="N11" s="22" t="n">
        <x:v>1055.8174904942966</x:v>
      </x:c>
      <x:c r="O11" s="22" t="n">
        <x:v>1055.82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150.5703422053232</x:v>
      </x:c>
      <x:c r="D12" s="22" t="n">
        <x:v>77.56653992395438</x:v>
      </x:c>
      <x:c r="E12" s="22" t="n">
        <x:v>191.63498098859316</x:v>
      </x:c>
      <x:c r="F12" s="22" t="n">
        <x:v>0</x:v>
      </x:c>
      <x:c r="G12" s="22" t="n">
        <x:v>292.0152091254753</x:v>
      </x:c>
      <x:c r="H12" s="22" t="n">
        <x:v>0</x:v>
      </x:c>
      <x:c r="I12" s="22" t="n">
        <x:v>255.51330798479088</x:v>
      </x:c>
      <x:c r="J12" s="22" t="n">
        <x:v>0</x:v>
      </x:c>
      <x:c r="K12" s="22" t="n">
        <x:v>0</x:v>
      </x:c>
      <x:c r="L12" s="22" t="n">
        <x:v>0</x:v>
      </x:c>
      <x:c r="M12" s="22" t="n">
        <x:v>228.13688212927758</x:v>
      </x:c>
      <x:c r="N12" s="22" t="n">
        <x:v>1195.4372623574145</x:v>
      </x:c>
      <x:c r="O12" s="22" t="n">
        <x:v>1195.44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156.95817490494298</x:v>
      </x:c>
      <x:c r="D13" s="22" t="n">
        <x:v>83.95437262357414</x:v>
      </x:c>
      <x:c r="E13" s="22" t="n">
        <x:v>191.63498098859316</x:v>
      </x:c>
      <x:c r="F13" s="22" t="n">
        <x:v>219.01140684410646</x:v>
      </x:c>
      <x:c r="G13" s="22" t="n">
        <x:v>0</x:v>
      </x:c>
      <x:c r="H13" s="22" t="n">
        <x:v>383.2699619771863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228.13688212927758</x:v>
      </x:c>
      <x:c r="N13" s="22" t="n">
        <x:v>1262.9657794676807</x:v>
      </x:c>
      <x:c r="O13" s="22" t="n">
        <x:v>1262.97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144.18250950570342</x:v>
      </x:c>
      <x:c r="D14" s="22" t="n">
        <x:v>81.21673003802282</x:v>
      </x:c>
      <x:c r="E14" s="22" t="n">
        <x:v>191.63498098859316</x:v>
      </x:c>
      <x:c r="F14" s="22" t="n">
        <x:v>0</x:v>
      </x:c>
      <x:c r="G14" s="22" t="n">
        <x:v>0</x:v>
      </x:c>
      <x:c r="H14" s="22" t="n">
        <x:v>0</x:v>
      </x:c>
      <x:c r="I14" s="22" t="n">
        <x:v>273.7642585551331</x:v>
      </x:c>
      <x:c r="J14" s="22" t="n">
        <x:v>0</x:v>
      </x:c>
      <x:c r="K14" s="22" t="n">
        <x:v>346.7680608365019</x:v>
      </x:c>
      <x:c r="L14" s="22" t="n">
        <x:v>0</x:v>
      </x:c>
      <x:c r="M14" s="22" t="n">
        <x:v>228.13688212927758</x:v>
      </x:c>
      <x:c r="N14" s="22" t="n">
        <x:v>1265.7034220532319</x:v>
      </x:c>
      <x:c r="O14" s="22" t="n">
        <x:v>1265.7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154.22053231939165</x:v>
      </x:c>
      <x:c r="D15" s="22" t="n">
        <x:v>83.04182509505704</x:v>
      </x:c>
      <x:c r="E15" s="22" t="n">
        <x:v>200.76045627376428</x:v>
      </x:c>
      <x:c r="F15" s="22" t="n">
        <x:v>0</x:v>
      </x:c>
      <x:c r="G15" s="22" t="n">
        <x:v>565.7794676806084</x:v>
      </x:c>
      <x:c r="H15" s="22" t="n">
        <x:v>0</x:v>
      </x:c>
      <x:c r="I15" s="22" t="n">
        <x:v>0</x:v>
      </x:c>
      <x:c r="J15" s="22" t="n">
        <x:v>237.26235741444867</x:v>
      </x:c>
      <x:c r="K15" s="22" t="n">
        <x:v>0</x:v>
      </x:c>
      <x:c r="L15" s="22" t="n">
        <x:v>0</x:v>
      </x:c>
      <x:c r="M15" s="22" t="n">
        <x:v>228.13688212927758</x:v>
      </x:c>
      <x:c r="N15" s="22" t="n">
        <x:v>1469.2015209125475</x:v>
      </x:c>
      <x:c r="O15" s="22" t="n">
        <x:v>1469.2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165.17110266159696</x:v>
      </x:c>
      <x:c r="D16" s="22" t="n">
        <x:v>89.42965779467681</x:v>
      </x:c>
      <x:c r="E16" s="22" t="n">
        <x:v>200.76045627376428</x:v>
      </x:c>
      <x:c r="F16" s="22" t="n">
        <x:v>328.5171102661597</x:v>
      </x:c>
      <x:c r="G16" s="22" t="n">
        <x:v>0</x:v>
      </x:c>
      <x:c r="H16" s="22" t="n">
        <x:v>0</x:v>
      </x:c>
      <x:c r="I16" s="22" t="n">
        <x:v>273.7642585551331</x:v>
      </x:c>
      <x:c r="J16" s="22" t="n">
        <x:v>0</x:v>
      </x:c>
      <x:c r="K16" s="22" t="n">
        <x:v>0</x:v>
      </x:c>
      <x:c r="L16" s="22" t="n">
        <x:v>0</x:v>
      </x:c>
      <x:c r="M16" s="22" t="n">
        <x:v>228.13688212927758</x:v>
      </x:c>
      <x:c r="N16" s="22" t="n">
        <x:v>1285.7794676806084</x:v>
      </x:c>
      <x:c r="O16" s="22" t="n">
        <x:v>1285.78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177.0342205323194</x:v>
      </x:c>
      <x:c r="D17" s="22" t="n">
        <x:v>93.07984790874525</x:v>
      </x:c>
      <x:c r="E17" s="22" t="n">
        <x:v>200.76045627376428</x:v>
      </x:c>
      <x:c r="F17" s="22" t="n">
        <x:v>0</x:v>
      </x:c>
      <x:c r="G17" s="22" t="n">
        <x:v>0</x:v>
      </x:c>
      <x:c r="H17" s="22" t="n">
        <x:v>0</x:v>
      </x:c>
      <x:c r="I17" s="22" t="n">
        <x:v>292.0152091254753</x:v>
      </x:c>
      <x:c r="J17" s="22" t="n">
        <x:v>0</x:v>
      </x:c>
      <x:c r="K17" s="22" t="n">
        <x:v>0</x:v>
      </x:c>
      <x:c r="L17" s="22" t="n">
        <x:v>1596.958174904943</x:v>
      </x:c>
      <x:c r="M17" s="22" t="n">
        <x:v>228.13688212927758</x:v>
      </x:c>
      <x:c r="N17" s="22" t="n">
        <x:v>2587.9847908745246</x:v>
      </x:c>
      <x:c r="O17" s="22" t="n">
        <x:v>2587.98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Ece Koç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B005-R004</x:v>
      </x:c>
    </x:row>
    <x:row r="4">
      <x:c r="A4" s="7" t="str">
        <x:v>Ad Soyad</x:v>
      </x:c>
      <x:c r="B4" t="str">
        <x:v>Ece Koç</x:v>
      </x:c>
    </x:row>
    <x:row r="5">
      <x:c r="A5" s="7" t="str">
        <x:v>Daire No</x:v>
      </x:c>
      <x:c r="B5" t="n">
        <x:v>4</x:v>
      </x:c>
    </x:row>
    <x:row r="6">
      <x:c r="A6" s="7" t="str">
        <x:v>Net m²</x:v>
      </x:c>
      <x:c r="B6" s="16" t="n">
        <x:v>96</x:v>
      </x:c>
    </x:row>
    <x:row r="7">
      <x:c r="A7" s="7" t="str">
        <x:v>Ortak Gider Payı</x:v>
      </x:c>
      <x:c r="B7" s="18" t="n">
        <x:v>0.09125475285171103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141.4448669201521</x:v>
      </x:c>
      <x:c r="D11" s="22" t="n">
        <x:v>74.82889733840304</x:v>
      </x:c>
      <x:c r="E11" s="22" t="n">
        <x:v>191.63498098859316</x:v>
      </x:c>
      <x:c r="F11" s="22" t="n">
        <x:v>164.25855513307985</x:v>
      </x:c>
      <x:c r="G11" s="22" t="n">
        <x:v>0</x:v>
      </x:c>
      <x:c r="H11" s="22" t="n">
        <x:v>0</x:v>
      </x:c>
      <x:c r="I11" s="22" t="n">
        <x:v>255.51330798479088</x:v>
      </x:c>
      <x:c r="J11" s="22" t="n">
        <x:v>0</x:v>
      </x:c>
      <x:c r="K11" s="22" t="n">
        <x:v>0</x:v>
      </x:c>
      <x:c r="L11" s="22" t="n">
        <x:v>0</x:v>
      </x:c>
      <x:c r="M11" s="22" t="n">
        <x:v>228.13688212927758</x:v>
      </x:c>
      <x:c r="N11" s="22" t="n">
        <x:v>1055.8174904942966</x:v>
      </x:c>
      <x:c r="O11" s="22" t="n">
        <x:v>1055.82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150.5703422053232</x:v>
      </x:c>
      <x:c r="D12" s="22" t="n">
        <x:v>77.56653992395438</x:v>
      </x:c>
      <x:c r="E12" s="22" t="n">
        <x:v>191.63498098859316</x:v>
      </x:c>
      <x:c r="F12" s="22" t="n">
        <x:v>0</x:v>
      </x:c>
      <x:c r="G12" s="22" t="n">
        <x:v>292.0152091254753</x:v>
      </x:c>
      <x:c r="H12" s="22" t="n">
        <x:v>0</x:v>
      </x:c>
      <x:c r="I12" s="22" t="n">
        <x:v>255.51330798479088</x:v>
      </x:c>
      <x:c r="J12" s="22" t="n">
        <x:v>0</x:v>
      </x:c>
      <x:c r="K12" s="22" t="n">
        <x:v>0</x:v>
      </x:c>
      <x:c r="L12" s="22" t="n">
        <x:v>0</x:v>
      </x:c>
      <x:c r="M12" s="22" t="n">
        <x:v>228.13688212927758</x:v>
      </x:c>
      <x:c r="N12" s="22" t="n">
        <x:v>1195.4372623574145</x:v>
      </x:c>
      <x:c r="O12" s="22" t="n">
        <x:v>1195.44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156.95817490494298</x:v>
      </x:c>
      <x:c r="D13" s="22" t="n">
        <x:v>83.95437262357414</x:v>
      </x:c>
      <x:c r="E13" s="22" t="n">
        <x:v>191.63498098859316</x:v>
      </x:c>
      <x:c r="F13" s="22" t="n">
        <x:v>219.01140684410646</x:v>
      </x:c>
      <x:c r="G13" s="22" t="n">
        <x:v>0</x:v>
      </x:c>
      <x:c r="H13" s="22" t="n">
        <x:v>383.2699619771863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228.13688212927758</x:v>
      </x:c>
      <x:c r="N13" s="22" t="n">
        <x:v>1262.9657794676807</x:v>
      </x:c>
      <x:c r="O13" s="22" t="n">
        <x:v>1262.97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144.18250950570342</x:v>
      </x:c>
      <x:c r="D14" s="22" t="n">
        <x:v>81.21673003802282</x:v>
      </x:c>
      <x:c r="E14" s="22" t="n">
        <x:v>191.63498098859316</x:v>
      </x:c>
      <x:c r="F14" s="22" t="n">
        <x:v>0</x:v>
      </x:c>
      <x:c r="G14" s="22" t="n">
        <x:v>0</x:v>
      </x:c>
      <x:c r="H14" s="22" t="n">
        <x:v>0</x:v>
      </x:c>
      <x:c r="I14" s="22" t="n">
        <x:v>273.7642585551331</x:v>
      </x:c>
      <x:c r="J14" s="22" t="n">
        <x:v>0</x:v>
      </x:c>
      <x:c r="K14" s="22" t="n">
        <x:v>346.7680608365019</x:v>
      </x:c>
      <x:c r="L14" s="22" t="n">
        <x:v>0</x:v>
      </x:c>
      <x:c r="M14" s="22" t="n">
        <x:v>228.13688212927758</x:v>
      </x:c>
      <x:c r="N14" s="22" t="n">
        <x:v>1265.7034220532319</x:v>
      </x:c>
      <x:c r="O14" s="22" t="n">
        <x:v>1265.7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154.22053231939165</x:v>
      </x:c>
      <x:c r="D15" s="22" t="n">
        <x:v>83.04182509505704</x:v>
      </x:c>
      <x:c r="E15" s="22" t="n">
        <x:v>200.76045627376428</x:v>
      </x:c>
      <x:c r="F15" s="22" t="n">
        <x:v>0</x:v>
      </x:c>
      <x:c r="G15" s="22" t="n">
        <x:v>565.7794676806084</x:v>
      </x:c>
      <x:c r="H15" s="22" t="n">
        <x:v>0</x:v>
      </x:c>
      <x:c r="I15" s="22" t="n">
        <x:v>0</x:v>
      </x:c>
      <x:c r="J15" s="22" t="n">
        <x:v>237.26235741444867</x:v>
      </x:c>
      <x:c r="K15" s="22" t="n">
        <x:v>0</x:v>
      </x:c>
      <x:c r="L15" s="22" t="n">
        <x:v>0</x:v>
      </x:c>
      <x:c r="M15" s="22" t="n">
        <x:v>228.13688212927758</x:v>
      </x:c>
      <x:c r="N15" s="22" t="n">
        <x:v>1469.2015209125475</x:v>
      </x:c>
      <x:c r="O15" s="22" t="n">
        <x:v>1469.2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165.17110266159696</x:v>
      </x:c>
      <x:c r="D16" s="22" t="n">
        <x:v>89.42965779467681</x:v>
      </x:c>
      <x:c r="E16" s="22" t="n">
        <x:v>200.76045627376428</x:v>
      </x:c>
      <x:c r="F16" s="22" t="n">
        <x:v>328.5171102661597</x:v>
      </x:c>
      <x:c r="G16" s="22" t="n">
        <x:v>0</x:v>
      </x:c>
      <x:c r="H16" s="22" t="n">
        <x:v>0</x:v>
      </x:c>
      <x:c r="I16" s="22" t="n">
        <x:v>273.7642585551331</x:v>
      </x:c>
      <x:c r="J16" s="22" t="n">
        <x:v>0</x:v>
      </x:c>
      <x:c r="K16" s="22" t="n">
        <x:v>0</x:v>
      </x:c>
      <x:c r="L16" s="22" t="n">
        <x:v>0</x:v>
      </x:c>
      <x:c r="M16" s="22" t="n">
        <x:v>228.13688212927758</x:v>
      </x:c>
      <x:c r="N16" s="22" t="n">
        <x:v>1285.7794676806084</x:v>
      </x:c>
      <x:c r="O16" s="22" t="n">
        <x:v>1285.78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177.0342205323194</x:v>
      </x:c>
      <x:c r="D17" s="22" t="n">
        <x:v>93.07984790874525</x:v>
      </x:c>
      <x:c r="E17" s="22" t="n">
        <x:v>200.76045627376428</x:v>
      </x:c>
      <x:c r="F17" s="22" t="n">
        <x:v>0</x:v>
      </x:c>
      <x:c r="G17" s="22" t="n">
        <x:v>0</x:v>
      </x:c>
      <x:c r="H17" s="22" t="n">
        <x:v>0</x:v>
      </x:c>
      <x:c r="I17" s="22" t="n">
        <x:v>292.0152091254753</x:v>
      </x:c>
      <x:c r="J17" s="22" t="n">
        <x:v>0</x:v>
      </x:c>
      <x:c r="K17" s="22" t="n">
        <x:v>0</x:v>
      </x:c>
      <x:c r="L17" s="22" t="n">
        <x:v>1596.958174904943</x:v>
      </x:c>
      <x:c r="M17" s="22" t="n">
        <x:v>228.13688212927758</x:v>
      </x:c>
      <x:c r="N17" s="22" t="n">
        <x:v>2587.9847908745246</x:v>
      </x:c>
      <x:c r="O17" s="22" t="n">
        <x:v>2587.98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Fatma Yıldız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B005-R005</x:v>
      </x:c>
    </x:row>
    <x:row r="4">
      <x:c r="A4" s="7" t="str">
        <x:v>Ad Soyad</x:v>
      </x:c>
      <x:c r="B4" t="str">
        <x:v>Fatma Yıldız</x:v>
      </x:c>
    </x:row>
    <x:row r="5">
      <x:c r="A5" s="7" t="str">
        <x:v>Daire No</x:v>
      </x:c>
      <x:c r="B5" t="n">
        <x:v>5</x:v>
      </x:c>
    </x:row>
    <x:row r="6">
      <x:c r="A6" s="7" t="str">
        <x:v>Net m²</x:v>
      </x:c>
      <x:c r="B6" s="16" t="n">
        <x:v>96</x:v>
      </x:c>
    </x:row>
    <x:row r="7">
      <x:c r="A7" s="7" t="str">
        <x:v>Ortak Gider Payı</x:v>
      </x:c>
      <x:c r="B7" s="18" t="n">
        <x:v>0.09125475285171103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141.4448669201521</x:v>
      </x:c>
      <x:c r="D11" s="22" t="n">
        <x:v>74.82889733840304</x:v>
      </x:c>
      <x:c r="E11" s="22" t="n">
        <x:v>191.63498098859316</x:v>
      </x:c>
      <x:c r="F11" s="22" t="n">
        <x:v>164.25855513307985</x:v>
      </x:c>
      <x:c r="G11" s="22" t="n">
        <x:v>0</x:v>
      </x:c>
      <x:c r="H11" s="22" t="n">
        <x:v>0</x:v>
      </x:c>
      <x:c r="I11" s="22" t="n">
        <x:v>255.51330798479088</x:v>
      </x:c>
      <x:c r="J11" s="22" t="n">
        <x:v>0</x:v>
      </x:c>
      <x:c r="K11" s="22" t="n">
        <x:v>0</x:v>
      </x:c>
      <x:c r="L11" s="22" t="n">
        <x:v>0</x:v>
      </x:c>
      <x:c r="M11" s="22" t="n">
        <x:v>228.13688212927758</x:v>
      </x:c>
      <x:c r="N11" s="22" t="n">
        <x:v>1055.8174904942966</x:v>
      </x:c>
      <x:c r="O11" s="22" t="n">
        <x:v>1055.82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150.5703422053232</x:v>
      </x:c>
      <x:c r="D12" s="22" t="n">
        <x:v>77.56653992395438</x:v>
      </x:c>
      <x:c r="E12" s="22" t="n">
        <x:v>191.63498098859316</x:v>
      </x:c>
      <x:c r="F12" s="22" t="n">
        <x:v>0</x:v>
      </x:c>
      <x:c r="G12" s="22" t="n">
        <x:v>292.0152091254753</x:v>
      </x:c>
      <x:c r="H12" s="22" t="n">
        <x:v>0</x:v>
      </x:c>
      <x:c r="I12" s="22" t="n">
        <x:v>255.51330798479088</x:v>
      </x:c>
      <x:c r="J12" s="22" t="n">
        <x:v>0</x:v>
      </x:c>
      <x:c r="K12" s="22" t="n">
        <x:v>0</x:v>
      </x:c>
      <x:c r="L12" s="22" t="n">
        <x:v>0</x:v>
      </x:c>
      <x:c r="M12" s="22" t="n">
        <x:v>228.13688212927758</x:v>
      </x:c>
      <x:c r="N12" s="22" t="n">
        <x:v>1195.4372623574145</x:v>
      </x:c>
      <x:c r="O12" s="22" t="n">
        <x:v>1195.44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156.95817490494298</x:v>
      </x:c>
      <x:c r="D13" s="22" t="n">
        <x:v>83.95437262357414</x:v>
      </x:c>
      <x:c r="E13" s="22" t="n">
        <x:v>191.63498098859316</x:v>
      </x:c>
      <x:c r="F13" s="22" t="n">
        <x:v>219.01140684410646</x:v>
      </x:c>
      <x:c r="G13" s="22" t="n">
        <x:v>0</x:v>
      </x:c>
      <x:c r="H13" s="22" t="n">
        <x:v>383.2699619771863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228.13688212927758</x:v>
      </x:c>
      <x:c r="N13" s="22" t="n">
        <x:v>1262.9657794676807</x:v>
      </x:c>
      <x:c r="O13" s="22" t="n">
        <x:v>0</x:v>
      </x:c>
      <x:c r="P13" s="22" t="n">
        <x:v>1262.97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144.18250950570342</x:v>
      </x:c>
      <x:c r="D14" s="22" t="n">
        <x:v>81.21673003802282</x:v>
      </x:c>
      <x:c r="E14" s="22" t="n">
        <x:v>191.63498098859316</x:v>
      </x:c>
      <x:c r="F14" s="22" t="n">
        <x:v>0</x:v>
      </x:c>
      <x:c r="G14" s="22" t="n">
        <x:v>0</x:v>
      </x:c>
      <x:c r="H14" s="22" t="n">
        <x:v>0</x:v>
      </x:c>
      <x:c r="I14" s="22" t="n">
        <x:v>273.7642585551331</x:v>
      </x:c>
      <x:c r="J14" s="22" t="n">
        <x:v>0</x:v>
      </x:c>
      <x:c r="K14" s="22" t="n">
        <x:v>346.7680608365019</x:v>
      </x:c>
      <x:c r="L14" s="22" t="n">
        <x:v>0</x:v>
      </x:c>
      <x:c r="M14" s="22" t="n">
        <x:v>228.13688212927758</x:v>
      </x:c>
      <x:c r="N14" s="22" t="n">
        <x:v>1265.7034220532319</x:v>
      </x:c>
      <x:c r="O14" s="22" t="n">
        <x:v>1265.7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154.22053231939165</x:v>
      </x:c>
      <x:c r="D15" s="22" t="n">
        <x:v>83.04182509505704</x:v>
      </x:c>
      <x:c r="E15" s="22" t="n">
        <x:v>200.76045627376428</x:v>
      </x:c>
      <x:c r="F15" s="22" t="n">
        <x:v>0</x:v>
      </x:c>
      <x:c r="G15" s="22" t="n">
        <x:v>565.7794676806084</x:v>
      </x:c>
      <x:c r="H15" s="22" t="n">
        <x:v>0</x:v>
      </x:c>
      <x:c r="I15" s="22" t="n">
        <x:v>0</x:v>
      </x:c>
      <x:c r="J15" s="22" t="n">
        <x:v>237.26235741444867</x:v>
      </x:c>
      <x:c r="K15" s="22" t="n">
        <x:v>0</x:v>
      </x:c>
      <x:c r="L15" s="22" t="n">
        <x:v>0</x:v>
      </x:c>
      <x:c r="M15" s="22" t="n">
        <x:v>228.13688212927758</x:v>
      </x:c>
      <x:c r="N15" s="22" t="n">
        <x:v>1469.2015209125475</x:v>
      </x:c>
      <x:c r="O15" s="22" t="n">
        <x:v>1469.2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165.17110266159696</x:v>
      </x:c>
      <x:c r="D16" s="22" t="n">
        <x:v>89.42965779467681</x:v>
      </x:c>
      <x:c r="E16" s="22" t="n">
        <x:v>200.76045627376428</x:v>
      </x:c>
      <x:c r="F16" s="22" t="n">
        <x:v>328.5171102661597</x:v>
      </x:c>
      <x:c r="G16" s="22" t="n">
        <x:v>0</x:v>
      </x:c>
      <x:c r="H16" s="22" t="n">
        <x:v>0</x:v>
      </x:c>
      <x:c r="I16" s="22" t="n">
        <x:v>273.7642585551331</x:v>
      </x:c>
      <x:c r="J16" s="22" t="n">
        <x:v>0</x:v>
      </x:c>
      <x:c r="K16" s="22" t="n">
        <x:v>0</x:v>
      </x:c>
      <x:c r="L16" s="22" t="n">
        <x:v>0</x:v>
      </x:c>
      <x:c r="M16" s="22" t="n">
        <x:v>228.13688212927758</x:v>
      </x:c>
      <x:c r="N16" s="22" t="n">
        <x:v>1285.7794676806084</x:v>
      </x:c>
      <x:c r="O16" s="22" t="n">
        <x:v>1285.78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177.0342205323194</x:v>
      </x:c>
      <x:c r="D17" s="22" t="n">
        <x:v>93.07984790874525</x:v>
      </x:c>
      <x:c r="E17" s="22" t="n">
        <x:v>200.76045627376428</x:v>
      </x:c>
      <x:c r="F17" s="22" t="n">
        <x:v>0</x:v>
      </x:c>
      <x:c r="G17" s="22" t="n">
        <x:v>0</x:v>
      </x:c>
      <x:c r="H17" s="22" t="n">
        <x:v>0</x:v>
      </x:c>
      <x:c r="I17" s="22" t="n">
        <x:v>292.0152091254753</x:v>
      </x:c>
      <x:c r="J17" s="22" t="n">
        <x:v>0</x:v>
      </x:c>
      <x:c r="K17" s="22" t="n">
        <x:v>0</x:v>
      </x:c>
      <x:c r="L17" s="22" t="n">
        <x:v>1596.958174904943</x:v>
      </x:c>
      <x:c r="M17" s="22" t="n">
        <x:v>228.13688212927758</x:v>
      </x:c>
      <x:c r="N17" s="22" t="n">
        <x:v>2587.9847908745246</x:v>
      </x:c>
      <x:c r="O17" s="22" t="n">
        <x:v>2587.98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Nihan 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B005-R006</x:v>
      </x:c>
    </x:row>
    <x:row r="4">
      <x:c r="A4" s="7" t="str">
        <x:v>Ad Soyad</x:v>
      </x:c>
      <x:c r="B4" t="str">
        <x:v>Nihan Demir</x:v>
      </x:c>
    </x:row>
    <x:row r="5">
      <x:c r="A5" s="7" t="str">
        <x:v>Daire No</x:v>
      </x:c>
      <x:c r="B5" t="n">
        <x:v>6</x:v>
      </x:c>
    </x:row>
    <x:row r="6">
      <x:c r="A6" s="7" t="str">
        <x:v>Net m²</x:v>
      </x:c>
      <x:c r="B6" s="16" t="n">
        <x:v>68</x:v>
      </x:c>
    </x:row>
    <x:row r="7">
      <x:c r="A7" s="7" t="str">
        <x:v>Ortak Gider Payı</x:v>
      </x:c>
      <x:c r="B7" s="18" t="n">
        <x:v>0.06463878326996197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100.19011406844106</x:v>
      </x:c>
      <x:c r="D11" s="22" t="n">
        <x:v>53.00380228136882</x:v>
      </x:c>
      <x:c r="E11" s="22" t="n">
        <x:v>135.74144486692015</x:v>
      </x:c>
      <x:c r="F11" s="22" t="n">
        <x:v>116.34980988593155</x:v>
      </x:c>
      <x:c r="G11" s="22" t="n">
        <x:v>0</x:v>
      </x:c>
      <x:c r="H11" s="22" t="n">
        <x:v>0</x:v>
      </x:c>
      <x:c r="I11" s="22" t="n">
        <x:v>180.98859315589354</x:v>
      </x:c>
      <x:c r="J11" s="22" t="n">
        <x:v>0</x:v>
      </x:c>
      <x:c r="K11" s="22" t="n">
        <x:v>0</x:v>
      </x:c>
      <x:c r="L11" s="22" t="n">
        <x:v>0</x:v>
      </x:c>
      <x:c r="M11" s="22" t="n">
        <x:v>161.59695817490493</x:v>
      </x:c>
      <x:c r="N11" s="22" t="n">
        <x:v>747.8707224334601</x:v>
      </x:c>
      <x:c r="O11" s="22" t="n">
        <x:v>747.87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106.65399239543726</x:v>
      </x:c>
      <x:c r="D12" s="22" t="n">
        <x:v>54.94296577946768</x:v>
      </x:c>
      <x:c r="E12" s="22" t="n">
        <x:v>135.74144486692015</x:v>
      </x:c>
      <x:c r="F12" s="22" t="n">
        <x:v>0</x:v>
      </x:c>
      <x:c r="G12" s="22" t="n">
        <x:v>206.84410646387832</x:v>
      </x:c>
      <x:c r="H12" s="22" t="n">
        <x:v>0</x:v>
      </x:c>
      <x:c r="I12" s="22" t="n">
        <x:v>180.98859315589354</x:v>
      </x:c>
      <x:c r="J12" s="22" t="n">
        <x:v>0</x:v>
      </x:c>
      <x:c r="K12" s="22" t="n">
        <x:v>0</x:v>
      </x:c>
      <x:c r="L12" s="22" t="n">
        <x:v>0</x:v>
      </x:c>
      <x:c r="M12" s="22" t="n">
        <x:v>161.59695817490493</x:v>
      </x:c>
      <x:c r="N12" s="22" t="n">
        <x:v>846.7680608365018</x:v>
      </x:c>
      <x:c r="O12" s="22" t="n">
        <x:v>846.77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111.1787072243346</x:v>
      </x:c>
      <x:c r="D13" s="22" t="n">
        <x:v>59.467680608365015</x:v>
      </x:c>
      <x:c r="E13" s="22" t="n">
        <x:v>135.74144486692015</x:v>
      </x:c>
      <x:c r="F13" s="22" t="n">
        <x:v>155.13307984790873</x:v>
      </x:c>
      <x:c r="G13" s="22" t="n">
        <x:v>0</x:v>
      </x:c>
      <x:c r="H13" s="22" t="n">
        <x:v>271.4828897338403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161.59695817490493</x:v>
      </x:c>
      <x:c r="N13" s="22" t="n">
        <x:v>894.6007604562737</x:v>
      </x:c>
      <x:c r="O13" s="22" t="n">
        <x:v>894.6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102.12927756653993</x:v>
      </x:c>
      <x:c r="D14" s="22" t="n">
        <x:v>57.52851711026616</x:v>
      </x:c>
      <x:c r="E14" s="22" t="n">
        <x:v>135.74144486692015</x:v>
      </x:c>
      <x:c r="F14" s="22" t="n">
        <x:v>0</x:v>
      </x:c>
      <x:c r="G14" s="22" t="n">
        <x:v>0</x:v>
      </x:c>
      <x:c r="H14" s="22" t="n">
        <x:v>0</x:v>
      </x:c>
      <x:c r="I14" s="22" t="n">
        <x:v>193.91634980988593</x:v>
      </x:c>
      <x:c r="J14" s="22" t="n">
        <x:v>0</x:v>
      </x:c>
      <x:c r="K14" s="22" t="n">
        <x:v>245.62737642585552</x:v>
      </x:c>
      <x:c r="L14" s="22" t="n">
        <x:v>0</x:v>
      </x:c>
      <x:c r="M14" s="22" t="n">
        <x:v>161.59695817490493</x:v>
      </x:c>
      <x:c r="N14" s="22" t="n">
        <x:v>896.5399239543726</x:v>
      </x:c>
      <x:c r="O14" s="22" t="n">
        <x:v>896.54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109.23954372623574</x:v>
      </x:c>
      <x:c r="D15" s="22" t="n">
        <x:v>58.8212927756654</x:v>
      </x:c>
      <x:c r="E15" s="22" t="n">
        <x:v>142.20532319391634</x:v>
      </x:c>
      <x:c r="F15" s="22" t="n">
        <x:v>0</x:v>
      </x:c>
      <x:c r="G15" s="22" t="n">
        <x:v>400.76045627376425</x:v>
      </x:c>
      <x:c r="H15" s="22" t="n">
        <x:v>0</x:v>
      </x:c>
      <x:c r="I15" s="22" t="n">
        <x:v>0</x:v>
      </x:c>
      <x:c r="J15" s="22" t="n">
        <x:v>168.06083650190112</x:v>
      </x:c>
      <x:c r="K15" s="22" t="n">
        <x:v>0</x:v>
      </x:c>
      <x:c r="L15" s="22" t="n">
        <x:v>0</x:v>
      </x:c>
      <x:c r="M15" s="22" t="n">
        <x:v>161.59695817490493</x:v>
      </x:c>
      <x:c r="N15" s="22" t="n">
        <x:v>1040.6844106463877</x:v>
      </x:c>
      <x:c r="O15" s="22" t="n">
        <x:v>520.34</x:v>
      </x:c>
      <x:c r="P15" s="22" t="n">
        <x:v>520.34</x:v>
      </x:c>
      <x:c r="Q15" t="str">
        <x:v>Kısmi Ödeme</x:v>
      </x:c>
    </x:row>
    <x:row r="16">
      <x:c r="A16" s="24" t="n">
        <x:v>46174</x:v>
      </x:c>
      <x:c r="B16" s="24" t="n">
        <x:v>46143</x:v>
      </x:c>
      <x:c r="C16" s="22" t="n">
        <x:v>116.99619771863118</x:v>
      </x:c>
      <x:c r="D16" s="22" t="n">
        <x:v>63.346007604562736</x:v>
      </x:c>
      <x:c r="E16" s="22" t="n">
        <x:v>142.20532319391634</x:v>
      </x:c>
      <x:c r="F16" s="22" t="n">
        <x:v>232.6996197718631</x:v>
      </x:c>
      <x:c r="G16" s="22" t="n">
        <x:v>0</x:v>
      </x:c>
      <x:c r="H16" s="22" t="n">
        <x:v>0</x:v>
      </x:c>
      <x:c r="I16" s="22" t="n">
        <x:v>193.91634980988593</x:v>
      </x:c>
      <x:c r="J16" s="22" t="n">
        <x:v>0</x:v>
      </x:c>
      <x:c r="K16" s="22" t="n">
        <x:v>0</x:v>
      </x:c>
      <x:c r="L16" s="22" t="n">
        <x:v>0</x:v>
      </x:c>
      <x:c r="M16" s="22" t="n">
        <x:v>161.59695817490493</x:v>
      </x:c>
      <x:c r="N16" s="22" t="n">
        <x:v>910.7604562737642</x:v>
      </x:c>
      <x:c r="O16" s="22" t="n">
        <x:v>910.76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125.39923954372622</x:v>
      </x:c>
      <x:c r="D17" s="22" t="n">
        <x:v>65.93155893536121</x:v>
      </x:c>
      <x:c r="E17" s="22" t="n">
        <x:v>142.20532319391634</x:v>
      </x:c>
      <x:c r="F17" s="22" t="n">
        <x:v>0</x:v>
      </x:c>
      <x:c r="G17" s="22" t="n">
        <x:v>0</x:v>
      </x:c>
      <x:c r="H17" s="22" t="n">
        <x:v>0</x:v>
      </x:c>
      <x:c r="I17" s="22" t="n">
        <x:v>206.84410646387832</x:v>
      </x:c>
      <x:c r="J17" s="22" t="n">
        <x:v>0</x:v>
      </x:c>
      <x:c r="K17" s="22" t="n">
        <x:v>0</x:v>
      </x:c>
      <x:c r="L17" s="22" t="n">
        <x:v>1131.1787072243346</x:v>
      </x:c>
      <x:c r="M17" s="22" t="n">
        <x:v>161.59695817490493</x:v>
      </x:c>
      <x:c r="N17" s="22" t="n">
        <x:v>1833.1558935361218</x:v>
      </x:c>
      <x:c r="O17" s="22" t="n">
        <x:v>1833.16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Ece Demir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B005-R007</x:v>
      </x:c>
    </x:row>
    <x:row r="4">
      <x:c r="A4" s="7" t="str">
        <x:v>Ad Soyad</x:v>
      </x:c>
      <x:c r="B4" t="str">
        <x:v>Ece Demir</x:v>
      </x:c>
    </x:row>
    <x:row r="5">
      <x:c r="A5" s="7" t="str">
        <x:v>Daire No</x:v>
      </x:c>
      <x:c r="B5" t="n">
        <x:v>7</x:v>
      </x:c>
    </x:row>
    <x:row r="6">
      <x:c r="A6" s="7" t="str">
        <x:v>Net m²</x:v>
      </x:c>
      <x:c r="B6" s="16" t="n">
        <x:v>112</x:v>
      </x:c>
    </x:row>
    <x:row r="7">
      <x:c r="A7" s="7" t="str">
        <x:v>Ortak Gider Payı</x:v>
      </x:c>
      <x:c r="B7" s="18" t="n">
        <x:v>0.10646387832699619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165.0190114068441</x:v>
      </x:c>
      <x:c r="D11" s="22" t="n">
        <x:v>87.30038022813687</x:v>
      </x:c>
      <x:c r="E11" s="22" t="n">
        <x:v>223.574144486692</x:v>
      </x:c>
      <x:c r="F11" s="22" t="n">
        <x:v>191.63498098859316</x:v>
      </x:c>
      <x:c r="G11" s="22" t="n">
        <x:v>0</x:v>
      </x:c>
      <x:c r="H11" s="22" t="n">
        <x:v>0</x:v>
      </x:c>
      <x:c r="I11" s="22" t="n">
        <x:v>298.0988593155893</x:v>
      </x:c>
      <x:c r="J11" s="22" t="n">
        <x:v>0</x:v>
      </x:c>
      <x:c r="K11" s="22" t="n">
        <x:v>0</x:v>
      </x:c>
      <x:c r="L11" s="22" t="n">
        <x:v>0</x:v>
      </x:c>
      <x:c r="M11" s="22" t="n">
        <x:v>266.1596958174905</x:v>
      </x:c>
      <x:c r="N11" s="22" t="n">
        <x:v>1231.7870722433458</x:v>
      </x:c>
      <x:c r="O11" s="22" t="n">
        <x:v>1231.79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175.66539923954372</x:v>
      </x:c>
      <x:c r="D12" s="22" t="n">
        <x:v>90.49429657794677</x:v>
      </x:c>
      <x:c r="E12" s="22" t="n">
        <x:v>223.574144486692</x:v>
      </x:c>
      <x:c r="F12" s="22" t="n">
        <x:v>0</x:v>
      </x:c>
      <x:c r="G12" s="22" t="n">
        <x:v>340.6844106463878</x:v>
      </x:c>
      <x:c r="H12" s="22" t="n">
        <x:v>0</x:v>
      </x:c>
      <x:c r="I12" s="22" t="n">
        <x:v>298.0988593155893</x:v>
      </x:c>
      <x:c r="J12" s="22" t="n">
        <x:v>0</x:v>
      </x:c>
      <x:c r="K12" s="22" t="n">
        <x:v>0</x:v>
      </x:c>
      <x:c r="L12" s="22" t="n">
        <x:v>0</x:v>
      </x:c>
      <x:c r="M12" s="22" t="n">
        <x:v>266.1596958174905</x:v>
      </x:c>
      <x:c r="N12" s="22" t="n">
        <x:v>1394.67680608365</x:v>
      </x:c>
      <x:c r="O12" s="22" t="n">
        <x:v>1394.68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183.11787072243345</x:v>
      </x:c>
      <x:c r="D13" s="22" t="n">
        <x:v>97.94676806083649</x:v>
      </x:c>
      <x:c r="E13" s="22" t="n">
        <x:v>223.574144486692</x:v>
      </x:c>
      <x:c r="F13" s="22" t="n">
        <x:v>255.51330798479086</x:v>
      </x:c>
      <x:c r="G13" s="22" t="n">
        <x:v>0</x:v>
      </x:c>
      <x:c r="H13" s="22" t="n">
        <x:v>447.148288973384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266.1596958174905</x:v>
      </x:c>
      <x:c r="N13" s="22" t="n">
        <x:v>1473.4600760456274</x:v>
      </x:c>
      <x:c r="O13" s="22" t="n">
        <x:v>0</x:v>
      </x:c>
      <x:c r="P13" s="22" t="n">
        <x:v>1473.46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168.21292775665398</x:v>
      </x:c>
      <x:c r="D14" s="22" t="n">
        <x:v>94.75285171102661</x:v>
      </x:c>
      <x:c r="E14" s="22" t="n">
        <x:v>223.574144486692</x:v>
      </x:c>
      <x:c r="F14" s="22" t="n">
        <x:v>0</x:v>
      </x:c>
      <x:c r="G14" s="22" t="n">
        <x:v>0</x:v>
      </x:c>
      <x:c r="H14" s="22" t="n">
        <x:v>0</x:v>
      </x:c>
      <x:c r="I14" s="22" t="n">
        <x:v>319.39163498098856</x:v>
      </x:c>
      <x:c r="J14" s="22" t="n">
        <x:v>0</x:v>
      </x:c>
      <x:c r="K14" s="22" t="n">
        <x:v>404.56273764258555</x:v>
      </x:c>
      <x:c r="L14" s="22" t="n">
        <x:v>0</x:v>
      </x:c>
      <x:c r="M14" s="22" t="n">
        <x:v>266.1596958174905</x:v>
      </x:c>
      <x:c r="N14" s="22" t="n">
        <x:v>1476.6539923954372</x:v>
      </x:c>
      <x:c r="O14" s="22" t="n">
        <x:v>1476.65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179.92395437262357</x:v>
      </x:c>
      <x:c r="D15" s="22" t="n">
        <x:v>96.88212927756653</x:v>
      </x:c>
      <x:c r="E15" s="22" t="n">
        <x:v>234.22053231939162</x:v>
      </x:c>
      <x:c r="F15" s="22" t="n">
        <x:v>0</x:v>
      </x:c>
      <x:c r="G15" s="22" t="n">
        <x:v>660.0760456273764</x:v>
      </x:c>
      <x:c r="H15" s="22" t="n">
        <x:v>0</x:v>
      </x:c>
      <x:c r="I15" s="22" t="n">
        <x:v>0</x:v>
      </x:c>
      <x:c r="J15" s="22" t="n">
        <x:v>276.8060836501901</x:v>
      </x:c>
      <x:c r="K15" s="22" t="n">
        <x:v>0</x:v>
      </x:c>
      <x:c r="L15" s="22" t="n">
        <x:v>0</x:v>
      </x:c>
      <x:c r="M15" s="22" t="n">
        <x:v>266.1596958174905</x:v>
      </x:c>
      <x:c r="N15" s="22" t="n">
        <x:v>1714.0684410646388</x:v>
      </x:c>
      <x:c r="O15" s="22" t="n">
        <x:v>1714.07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192.6996197718631</x:v>
      </x:c>
      <x:c r="D16" s="22" t="n">
        <x:v>104.33460076045627</x:v>
      </x:c>
      <x:c r="E16" s="22" t="n">
        <x:v>234.22053231939162</x:v>
      </x:c>
      <x:c r="F16" s="22" t="n">
        <x:v>383.2699619771863</x:v>
      </x:c>
      <x:c r="G16" s="22" t="n">
        <x:v>0</x:v>
      </x:c>
      <x:c r="H16" s="22" t="n">
        <x:v>0</x:v>
      </x:c>
      <x:c r="I16" s="22" t="n">
        <x:v>319.39163498098856</x:v>
      </x:c>
      <x:c r="J16" s="22" t="n">
        <x:v>0</x:v>
      </x:c>
      <x:c r="K16" s="22" t="n">
        <x:v>0</x:v>
      </x:c>
      <x:c r="L16" s="22" t="n">
        <x:v>0</x:v>
      </x:c>
      <x:c r="M16" s="22" t="n">
        <x:v>266.1596958174905</x:v>
      </x:c>
      <x:c r="N16" s="22" t="n">
        <x:v>1500.0760456273763</x:v>
      </x:c>
      <x:c r="O16" s="22" t="n">
        <x:v>1500.08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206.53992395437263</x:v>
      </x:c>
      <x:c r="D17" s="22" t="n">
        <x:v>108.59315589353612</x:v>
      </x:c>
      <x:c r="E17" s="22" t="n">
        <x:v>234.22053231939162</x:v>
      </x:c>
      <x:c r="F17" s="22" t="n">
        <x:v>0</x:v>
      </x:c>
      <x:c r="G17" s="22" t="n">
        <x:v>0</x:v>
      </x:c>
      <x:c r="H17" s="22" t="n">
        <x:v>0</x:v>
      </x:c>
      <x:c r="I17" s="22" t="n">
        <x:v>340.6844106463878</x:v>
      </x:c>
      <x:c r="J17" s="22" t="n">
        <x:v>0</x:v>
      </x:c>
      <x:c r="K17" s="22" t="n">
        <x:v>0</x:v>
      </x:c>
      <x:c r="L17" s="22" t="n">
        <x:v>1863.1178707224333</x:v>
      </x:c>
      <x:c r="M17" s="22" t="n">
        <x:v>266.1596958174905</x:v>
      </x:c>
      <x:c r="N17" s="22" t="n">
        <x:v>3019.315589353612</x:v>
      </x:c>
      <x:c r="O17" s="22" t="n">
        <x:v>3019.32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Fatma Aksoy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B005-R008</x:v>
      </x:c>
    </x:row>
    <x:row r="4">
      <x:c r="A4" s="7" t="str">
        <x:v>Ad Soyad</x:v>
      </x:c>
      <x:c r="B4" t="str">
        <x:v>Fatma Aksoy</x:v>
      </x:c>
    </x:row>
    <x:row r="5">
      <x:c r="A5" s="7" t="str">
        <x:v>Daire No</x:v>
      </x:c>
      <x:c r="B5" t="n">
        <x:v>8</x:v>
      </x:c>
    </x:row>
    <x:row r="6">
      <x:c r="A6" s="7" t="str">
        <x:v>Net m²</x:v>
      </x:c>
      <x:c r="B6" s="16" t="n">
        <x:v>105</x:v>
      </x:c>
    </x:row>
    <x:row r="7">
      <x:c r="A7" s="7" t="str">
        <x:v>Ortak Gider Payı</x:v>
      </x:c>
      <x:c r="B7" s="18" t="n">
        <x:v>0.09980988593155894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154.70532319391637</x:v>
      </x:c>
      <x:c r="D11" s="22" t="n">
        <x:v>81.84410646387833</x:v>
      </x:c>
      <x:c r="E11" s="22" t="n">
        <x:v>209.60076045627378</x:v>
      </x:c>
      <x:c r="F11" s="22" t="n">
        <x:v>179.6577946768061</x:v>
      </x:c>
      <x:c r="G11" s="22" t="n">
        <x:v>0</x:v>
      </x:c>
      <x:c r="H11" s="22" t="n">
        <x:v>0</x:v>
      </x:c>
      <x:c r="I11" s="22" t="n">
        <x:v>279.467680608365</x:v>
      </x:c>
      <x:c r="J11" s="22" t="n">
        <x:v>0</x:v>
      </x:c>
      <x:c r="K11" s="22" t="n">
        <x:v>0</x:v>
      </x:c>
      <x:c r="L11" s="22" t="n">
        <x:v>0</x:v>
      </x:c>
      <x:c r="M11" s="22" t="n">
        <x:v>249.52471482889734</x:v>
      </x:c>
      <x:c r="N11" s="22" t="n">
        <x:v>1154.8003802281369</x:v>
      </x:c>
      <x:c r="O11" s="22" t="n">
        <x:v>1154.8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164.68631178707224</x:v>
      </x:c>
      <x:c r="D12" s="22" t="n">
        <x:v>84.8384030418251</x:v>
      </x:c>
      <x:c r="E12" s="22" t="n">
        <x:v>209.60076045627378</x:v>
      </x:c>
      <x:c r="F12" s="22" t="n">
        <x:v>0</x:v>
      </x:c>
      <x:c r="G12" s="22" t="n">
        <x:v>319.3916349809886</x:v>
      </x:c>
      <x:c r="H12" s="22" t="n">
        <x:v>0</x:v>
      </x:c>
      <x:c r="I12" s="22" t="n">
        <x:v>279.467680608365</x:v>
      </x:c>
      <x:c r="J12" s="22" t="n">
        <x:v>0</x:v>
      </x:c>
      <x:c r="K12" s="22" t="n">
        <x:v>0</x:v>
      </x:c>
      <x:c r="L12" s="22" t="n">
        <x:v>0</x:v>
      </x:c>
      <x:c r="M12" s="22" t="n">
        <x:v>249.52471482889734</x:v>
      </x:c>
      <x:c r="N12" s="22" t="n">
        <x:v>1307.509505703422</x:v>
      </x:c>
      <x:c r="O12" s="22" t="n">
        <x:v>1307.51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171.67300380228139</x:v>
      </x:c>
      <x:c r="D13" s="22" t="n">
        <x:v>91.82509505703423</x:v>
      </x:c>
      <x:c r="E13" s="22" t="n">
        <x:v>209.60076045627378</x:v>
      </x:c>
      <x:c r="F13" s="22" t="n">
        <x:v>239.54372623574147</x:v>
      </x:c>
      <x:c r="G13" s="22" t="n">
        <x:v>0</x:v>
      </x:c>
      <x:c r="H13" s="22" t="n">
        <x:v>419.20152091254755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249.52471482889734</x:v>
      </x:c>
      <x:c r="N13" s="22" t="n">
        <x:v>1381.3688212927757</x:v>
      </x:c>
      <x:c r="O13" s="22" t="n">
        <x:v>1381.37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157.69961977186313</x:v>
      </x:c>
      <x:c r="D14" s="22" t="n">
        <x:v>88.83079847908746</x:v>
      </x:c>
      <x:c r="E14" s="22" t="n">
        <x:v>209.60076045627378</x:v>
      </x:c>
      <x:c r="F14" s="22" t="n">
        <x:v>0</x:v>
      </x:c>
      <x:c r="G14" s="22" t="n">
        <x:v>0</x:v>
      </x:c>
      <x:c r="H14" s="22" t="n">
        <x:v>0</x:v>
      </x:c>
      <x:c r="I14" s="22" t="n">
        <x:v>299.4296577946768</x:v>
      </x:c>
      <x:c r="J14" s="22" t="n">
        <x:v>0</x:v>
      </x:c>
      <x:c r="K14" s="22" t="n">
        <x:v>379.27756653992395</x:v>
      </x:c>
      <x:c r="L14" s="22" t="n">
        <x:v>0</x:v>
      </x:c>
      <x:c r="M14" s="22" t="n">
        <x:v>249.52471482889734</x:v>
      </x:c>
      <x:c r="N14" s="22" t="n">
        <x:v>1384.3631178707224</x:v>
      </x:c>
      <x:c r="O14" s="22" t="n">
        <x:v>1384.36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168.6787072243346</x:v>
      </x:c>
      <x:c r="D15" s="22" t="n">
        <x:v>90.82699619771864</x:v>
      </x:c>
      <x:c r="E15" s="22" t="n">
        <x:v>219.58174904942967</x:v>
      </x:c>
      <x:c r="F15" s="22" t="n">
        <x:v>0</x:v>
      </x:c>
      <x:c r="G15" s="22" t="n">
        <x:v>618.8212927756655</x:v>
      </x:c>
      <x:c r="H15" s="22" t="n">
        <x:v>0</x:v>
      </x:c>
      <x:c r="I15" s="22" t="n">
        <x:v>0</x:v>
      </x:c>
      <x:c r="J15" s="22" t="n">
        <x:v>259.5057034220533</x:v>
      </x:c>
      <x:c r="K15" s="22" t="n">
        <x:v>0</x:v>
      </x:c>
      <x:c r="L15" s="22" t="n">
        <x:v>0</x:v>
      </x:c>
      <x:c r="M15" s="22" t="n">
        <x:v>249.52471482889734</x:v>
      </x:c>
      <x:c r="N15" s="22" t="n">
        <x:v>1606.939163498099</x:v>
      </x:c>
      <x:c r="O15" s="22" t="n">
        <x:v>1606.94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180.65589353612168</x:v>
      </x:c>
      <x:c r="D16" s="22" t="n">
        <x:v>97.81368821292776</x:v>
      </x:c>
      <x:c r="E16" s="22" t="n">
        <x:v>219.58174904942967</x:v>
      </x:c>
      <x:c r="F16" s="22" t="n">
        <x:v>359.3155893536122</x:v>
      </x:c>
      <x:c r="G16" s="22" t="n">
        <x:v>0</x:v>
      </x:c>
      <x:c r="H16" s="22" t="n">
        <x:v>0</x:v>
      </x:c>
      <x:c r="I16" s="22" t="n">
        <x:v>299.4296577946768</x:v>
      </x:c>
      <x:c r="J16" s="22" t="n">
        <x:v>0</x:v>
      </x:c>
      <x:c r="K16" s="22" t="n">
        <x:v>0</x:v>
      </x:c>
      <x:c r="L16" s="22" t="n">
        <x:v>0</x:v>
      </x:c>
      <x:c r="M16" s="22" t="n">
        <x:v>249.52471482889734</x:v>
      </x:c>
      <x:c r="N16" s="22" t="n">
        <x:v>1406.3212927756654</x:v>
      </x:c>
      <x:c r="O16" s="22" t="n">
        <x:v>1406.32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193.63117870722434</x:v>
      </x:c>
      <x:c r="D17" s="22" t="n">
        <x:v>101.80608365019012</x:v>
      </x:c>
      <x:c r="E17" s="22" t="n">
        <x:v>219.58174904942967</x:v>
      </x:c>
      <x:c r="F17" s="22" t="n">
        <x:v>0</x:v>
      </x:c>
      <x:c r="G17" s="22" t="n">
        <x:v>0</x:v>
      </x:c>
      <x:c r="H17" s="22" t="n">
        <x:v>0</x:v>
      </x:c>
      <x:c r="I17" s="22" t="n">
        <x:v>319.3916349809886</x:v>
      </x:c>
      <x:c r="J17" s="22" t="n">
        <x:v>0</x:v>
      </x:c>
      <x:c r="K17" s="22" t="n">
        <x:v>0</x:v>
      </x:c>
      <x:c r="L17" s="22" t="n">
        <x:v>1746.6730038022815</x:v>
      </x:c>
      <x:c r="M17" s="22" t="n">
        <x:v>249.52471482889734</x:v>
      </x:c>
      <x:c r="N17" s="22" t="n">
        <x:v>2830.6083650190117</x:v>
      </x:c>
      <x:c r="O17" s="22" t="n">
        <x:v>2830.61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Kerem Tekin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B005-R009</x:v>
      </x:c>
    </x:row>
    <x:row r="4">
      <x:c r="A4" s="7" t="str">
        <x:v>Ad Soyad</x:v>
      </x:c>
      <x:c r="B4" t="str">
        <x:v>Kerem Tekin</x:v>
      </x:c>
    </x:row>
    <x:row r="5">
      <x:c r="A5" s="7" t="str">
        <x:v>Daire No</x:v>
      </x:c>
      <x:c r="B5" t="n">
        <x:v>9</x:v>
      </x:c>
    </x:row>
    <x:row r="6">
      <x:c r="A6" s="7" t="str">
        <x:v>Net m²</x:v>
      </x:c>
      <x:c r="B6" s="16" t="n">
        <x:v>145</x:v>
      </x:c>
    </x:row>
    <x:row r="7">
      <x:c r="A7" s="7" t="str">
        <x:v>Ortak Gider Payı</x:v>
      </x:c>
      <x:c r="B7" s="18" t="n">
        <x:v>0.13783269961977188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213.6406844106464</x:v>
      </x:c>
      <x:c r="D11" s="22" t="n">
        <x:v>113.02281368821293</x:v>
      </x:c>
      <x:c r="E11" s="22" t="n">
        <x:v>289.44866920152094</x:v>
      </x:c>
      <x:c r="F11" s="22" t="n">
        <x:v>248.09885931558938</x:v>
      </x:c>
      <x:c r="G11" s="22" t="n">
        <x:v>0</x:v>
      </x:c>
      <x:c r="H11" s="22" t="n">
        <x:v>0</x:v>
      </x:c>
      <x:c r="I11" s="22" t="n">
        <x:v>385.93155893536124</x:v>
      </x:c>
      <x:c r="J11" s="22" t="n">
        <x:v>0</x:v>
      </x:c>
      <x:c r="K11" s="22" t="n">
        <x:v>0</x:v>
      </x:c>
      <x:c r="L11" s="22" t="n">
        <x:v>0</x:v>
      </x:c>
      <x:c r="M11" s="22" t="n">
        <x:v>344.5817490494297</x:v>
      </x:c>
      <x:c r="N11" s="22" t="n">
        <x:v>1594.7243346007606</x:v>
      </x:c>
      <x:c r="O11" s="22" t="n">
        <x:v>1594.72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227.4239543726236</x:v>
      </x:c>
      <x:c r="D12" s="22" t="n">
        <x:v>117.15779467680609</x:v>
      </x:c>
      <x:c r="E12" s="22" t="n">
        <x:v>289.44866920152094</x:v>
      </x:c>
      <x:c r="F12" s="22" t="n">
        <x:v>0</x:v>
      </x:c>
      <x:c r="G12" s="22" t="n">
        <x:v>441.06463878327</x:v>
      </x:c>
      <x:c r="H12" s="22" t="n">
        <x:v>0</x:v>
      </x:c>
      <x:c r="I12" s="22" t="n">
        <x:v>385.93155893536124</x:v>
      </x:c>
      <x:c r="J12" s="22" t="n">
        <x:v>0</x:v>
      </x:c>
      <x:c r="K12" s="22" t="n">
        <x:v>0</x:v>
      </x:c>
      <x:c r="L12" s="22" t="n">
        <x:v>0</x:v>
      </x:c>
      <x:c r="M12" s="22" t="n">
        <x:v>344.5817490494297</x:v>
      </x:c>
      <x:c r="N12" s="22" t="n">
        <x:v>1805.6083650190117</x:v>
      </x:c>
      <x:c r="O12" s="22" t="n">
        <x:v>1805.61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237.07224334600764</x:v>
      </x:c>
      <x:c r="D13" s="22" t="n">
        <x:v>126.80608365019013</x:v>
      </x:c>
      <x:c r="E13" s="22" t="n">
        <x:v>289.44866920152094</x:v>
      </x:c>
      <x:c r="F13" s="22" t="n">
        <x:v>330.7984790874525</x:v>
      </x:c>
      <x:c r="G13" s="22" t="n">
        <x:v>0</x:v>
      </x:c>
      <x:c r="H13" s="22" t="n">
        <x:v>578.8973384030419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344.5817490494297</x:v>
      </x:c>
      <x:c r="N13" s="22" t="n">
        <x:v>1907.6045627376427</x:v>
      </x:c>
      <x:c r="O13" s="22" t="n">
        <x:v>1907.6</x:v>
      </x:c>
      <x:c r="P13" s="22" t="n">
        <x:v>0</x:v>
      </x:c>
      <x:c r="Q13" t="str">
        <x:v>Ödendi</x:v>
      </x:c>
    </x:row>
    <x:row r="14">
      <x:c r="A14" s="24" t="n">
        <x:v>46113</x:v>
      </x:c>
      <x:c r="B14" s="24" t="n">
        <x:v>46082</x:v>
      </x:c>
      <x:c r="C14" s="22" t="n">
        <x:v>217.77566539923956</x:v>
      </x:c>
      <x:c r="D14" s="22" t="n">
        <x:v>122.67110266159698</x:v>
      </x:c>
      <x:c r="E14" s="22" t="n">
        <x:v>289.44866920152094</x:v>
      </x:c>
      <x:c r="F14" s="22" t="n">
        <x:v>0</x:v>
      </x:c>
      <x:c r="G14" s="22" t="n">
        <x:v>0</x:v>
      </x:c>
      <x:c r="H14" s="22" t="n">
        <x:v>0</x:v>
      </x:c>
      <x:c r="I14" s="22" t="n">
        <x:v>413.49809885931563</x:v>
      </x:c>
      <x:c r="J14" s="22" t="n">
        <x:v>0</x:v>
      </x:c>
      <x:c r="K14" s="22" t="n">
        <x:v>523.7642585551331</x:v>
      </x:c>
      <x:c r="L14" s="22" t="n">
        <x:v>0</x:v>
      </x:c>
      <x:c r="M14" s="22" t="n">
        <x:v>344.5817490494297</x:v>
      </x:c>
      <x:c r="N14" s="22" t="n">
        <x:v>1911.739543726236</x:v>
      </x:c>
      <x:c r="O14" s="22" t="n">
        <x:v>1911.74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232.93726235741448</x:v>
      </x:c>
      <x:c r="D15" s="22" t="n">
        <x:v>125.4277566539924</x:v>
      </x:c>
      <x:c r="E15" s="22" t="n">
        <x:v>303.2319391634981</x:v>
      </x:c>
      <x:c r="F15" s="22" t="n">
        <x:v>0</x:v>
      </x:c>
      <x:c r="G15" s="22" t="n">
        <x:v>854.5627376425856</x:v>
      </x:c>
      <x:c r="H15" s="22" t="n">
        <x:v>0</x:v>
      </x:c>
      <x:c r="I15" s="22" t="n">
        <x:v>0</x:v>
      </x:c>
      <x:c r="J15" s="22" t="n">
        <x:v>358.3650190114069</x:v>
      </x:c>
      <x:c r="K15" s="22" t="n">
        <x:v>0</x:v>
      </x:c>
      <x:c r="L15" s="22" t="n">
        <x:v>0</x:v>
      </x:c>
      <x:c r="M15" s="22" t="n">
        <x:v>344.5817490494297</x:v>
      </x:c>
      <x:c r="N15" s="22" t="n">
        <x:v>2219.1064638783273</x:v>
      </x:c>
      <x:c r="O15" s="22" t="n">
        <x:v>2219.11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249.4771863117871</x:v>
      </x:c>
      <x:c r="D16" s="22" t="n">
        <x:v>135.07604562737643</x:v>
      </x:c>
      <x:c r="E16" s="22" t="n">
        <x:v>303.2319391634981</x:v>
      </x:c>
      <x:c r="F16" s="22" t="n">
        <x:v>496.19771863117876</x:v>
      </x:c>
      <x:c r="G16" s="22" t="n">
        <x:v>0</x:v>
      </x:c>
      <x:c r="H16" s="22" t="n">
        <x:v>0</x:v>
      </x:c>
      <x:c r="I16" s="22" t="n">
        <x:v>413.49809885931563</x:v>
      </x:c>
      <x:c r="J16" s="22" t="n">
        <x:v>0</x:v>
      </x:c>
      <x:c r="K16" s="22" t="n">
        <x:v>0</x:v>
      </x:c>
      <x:c r="L16" s="22" t="n">
        <x:v>0</x:v>
      </x:c>
      <x:c r="M16" s="22" t="n">
        <x:v>344.5817490494297</x:v>
      </x:c>
      <x:c r="N16" s="22" t="n">
        <x:v>1942.0627376425857</x:v>
      </x:c>
      <x:c r="O16" s="22" t="n">
        <x:v>1942.06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267.39543726235746</x:v>
      </x:c>
      <x:c r="D17" s="22" t="n">
        <x:v>140.58935361216732</x:v>
      </x:c>
      <x:c r="E17" s="22" t="n">
        <x:v>303.2319391634981</x:v>
      </x:c>
      <x:c r="F17" s="22" t="n">
        <x:v>0</x:v>
      </x:c>
      <x:c r="G17" s="22" t="n">
        <x:v>0</x:v>
      </x:c>
      <x:c r="H17" s="22" t="n">
        <x:v>0</x:v>
      </x:c>
      <x:c r="I17" s="22" t="n">
        <x:v>441.06463878327</x:v>
      </x:c>
      <x:c r="J17" s="22" t="n">
        <x:v>0</x:v>
      </x:c>
      <x:c r="K17" s="22" t="n">
        <x:v>0</x:v>
      </x:c>
      <x:c r="L17" s="22" t="n">
        <x:v>2412.072243346008</x:v>
      </x:c>
      <x:c r="M17" s="22" t="n">
        <x:v>344.5817490494297</x:v>
      </x:c>
      <x:c r="N17" s="22" t="n">
        <x:v>3908.9353612167306</x:v>
      </x:c>
      <x:c r="O17" s="22" t="n">
        <x:v>0</x:v>
      </x:c>
      <x:c r="P17" s="22" t="n">
        <x:v>3908.94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Deniz Apartmanı Sakini Aidat Ekstresi — Selin Doğan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B005-R010</x:v>
      </x:c>
    </x:row>
    <x:row r="4">
      <x:c r="A4" s="7" t="str">
        <x:v>Ad Soyad</x:v>
      </x:c>
      <x:c r="B4" t="str">
        <x:v>Selin Doğan</x:v>
      </x:c>
    </x:row>
    <x:row r="5">
      <x:c r="A5" s="7" t="str">
        <x:v>Daire No</x:v>
      </x:c>
      <x:c r="B5" t="n">
        <x:v>10</x:v>
      </x:c>
    </x:row>
    <x:row r="6">
      <x:c r="A6" s="7" t="str">
        <x:v>Net m²</x:v>
      </x:c>
      <x:c r="B6" s="16" t="n">
        <x:v>132</x:v>
      </x:c>
    </x:row>
    <x:row r="7">
      <x:c r="A7" s="7" t="str">
        <x:v>Ortak Gider Payı</x:v>
      </x:c>
      <x:c r="B7" s="18" t="n">
        <x:v>0.12547528517110265</x:v>
      </x:c>
    </x:row>
    <x:row r="10">
      <x:c r="A10" s="10" t="str">
        <x:v>Aidat Ayı</x:v>
      </x:c>
      <x:c r="B10" s="10" t="str">
        <x:v>Baz Gider Ayı</x:v>
      </x:c>
      <x:c r="C10" s="10" t="str">
        <x:v>Ortak Alan Elektrik</x:v>
      </x:c>
      <x:c r="D10" s="10" t="str">
        <x:v>Ortak Alan Su</x:v>
      </x:c>
      <x:c r="E10" s="10" t="str">
        <x:v>Asansör Bakımı</x:v>
      </x:c>
      <x:c r="F10" s="10" t="str">
        <x:v>Jeneratör Bakımı</x:v>
      </x:c>
      <x:c r="G10" s="10" t="str">
        <x:v>Hidrofor Bakımı</x:v>
      </x:c>
      <x:c r="H10" s="10" t="str">
        <x:v>Yangın Sistemleri</x:v>
      </x:c>
      <x:c r="I10" s="10" t="str">
        <x:v>Temizlik</x:v>
      </x:c>
      <x:c r="J10" s="10" t="str">
        <x:v>Bahçe Bakımı</x:v>
      </x:c>
      <x:c r="K10" s="10" t="str">
        <x:v>Onarım</x:v>
      </x:c>
      <x:c r="L10" s="10" t="str">
        <x:v>Çatı Bakımı</x:v>
      </x:c>
      <x:c r="M10" s="10" t="str">
        <x:v>Yönetim Hizmeti</x:v>
      </x:c>
      <x:c r="N10" s="10" t="str">
        <x:v>Toplam Aidat</x:v>
      </x:c>
      <x:c r="O10" s="10" t="str">
        <x:v>Ödenen</x:v>
      </x:c>
      <x:c r="P10" s="10" t="str">
        <x:v>Kalan Borç</x:v>
      </x:c>
      <x:c r="Q10" s="10" t="str">
        <x:v>Durum</x:v>
      </x:c>
    </x:row>
    <x:row r="11">
      <x:c r="A11" s="24" t="n">
        <x:v>46023</x:v>
      </x:c>
      <x:c r="B11" s="24" t="n">
        <x:v>45992</x:v>
      </x:c>
      <x:c r="C11" s="22" t="n">
        <x:v>194.48669201520912</x:v>
      </x:c>
      <x:c r="D11" s="22" t="n">
        <x:v>102.88973384030417</x:v>
      </x:c>
      <x:c r="E11" s="22" t="n">
        <x:v>263.4980988593156</x:v>
      </x:c>
      <x:c r="F11" s="22" t="n">
        <x:v>225.85551330798478</x:v>
      </x:c>
      <x:c r="G11" s="22" t="n">
        <x:v>0</x:v>
      </x:c>
      <x:c r="H11" s="22" t="n">
        <x:v>0</x:v>
      </x:c>
      <x:c r="I11" s="22" t="n">
        <x:v>351.33079847908743</x:v>
      </x:c>
      <x:c r="J11" s="22" t="n">
        <x:v>0</x:v>
      </x:c>
      <x:c r="K11" s="22" t="n">
        <x:v>0</x:v>
      </x:c>
      <x:c r="L11" s="22" t="n">
        <x:v>0</x:v>
      </x:c>
      <x:c r="M11" s="22" t="n">
        <x:v>313.68821292775664</x:v>
      </x:c>
      <x:c r="N11" s="22" t="n">
        <x:v>1451.7490494296578</x:v>
      </x:c>
      <x:c r="O11" s="22" t="n">
        <x:v>1451.75</x:v>
      </x:c>
      <x:c r="P11" s="22" t="n">
        <x:v>0</x:v>
      </x:c>
      <x:c r="Q11" t="str">
        <x:v>Ödendi</x:v>
      </x:c>
    </x:row>
    <x:row r="12">
      <x:c r="A12" s="24" t="n">
        <x:v>46054</x:v>
      </x:c>
      <x:c r="B12" s="24" t="n">
        <x:v>46023</x:v>
      </x:c>
      <x:c r="C12" s="22" t="n">
        <x:v>207.03422053231938</x:v>
      </x:c>
      <x:c r="D12" s="22" t="n">
        <x:v>106.65399239543726</x:v>
      </x:c>
      <x:c r="E12" s="22" t="n">
        <x:v>263.4980988593156</x:v>
      </x:c>
      <x:c r="F12" s="22" t="n">
        <x:v>0</x:v>
      </x:c>
      <x:c r="G12" s="22" t="n">
        <x:v>401.5209125475285</x:v>
      </x:c>
      <x:c r="H12" s="22" t="n">
        <x:v>0</x:v>
      </x:c>
      <x:c r="I12" s="22" t="n">
        <x:v>351.33079847908743</x:v>
      </x:c>
      <x:c r="J12" s="22" t="n">
        <x:v>0</x:v>
      </x:c>
      <x:c r="K12" s="22" t="n">
        <x:v>0</x:v>
      </x:c>
      <x:c r="L12" s="22" t="n">
        <x:v>0</x:v>
      </x:c>
      <x:c r="M12" s="22" t="n">
        <x:v>313.68821292775664</x:v>
      </x:c>
      <x:c r="N12" s="22" t="n">
        <x:v>1643.7262357414447</x:v>
      </x:c>
      <x:c r="O12" s="22" t="n">
        <x:v>1643.73</x:v>
      </x:c>
      <x:c r="P12" s="22" t="n">
        <x:v>0</x:v>
      </x:c>
      <x:c r="Q12" t="str">
        <x:v>Ödendi</x:v>
      </x:c>
    </x:row>
    <x:row r="13">
      <x:c r="A13" s="24" t="n">
        <x:v>46082</x:v>
      </x:c>
      <x:c r="B13" s="24" t="n">
        <x:v>46054</x:v>
      </x:c>
      <x:c r="C13" s="22" t="n">
        <x:v>215.81749049429655</x:v>
      </x:c>
      <x:c r="D13" s="22" t="n">
        <x:v>115.43726235741444</x:v>
      </x:c>
      <x:c r="E13" s="22" t="n">
        <x:v>263.4980988593156</x:v>
      </x:c>
      <x:c r="F13" s="22" t="n">
        <x:v>301.1406844106464</x:v>
      </x:c>
      <x:c r="G13" s="22" t="n">
        <x:v>0</x:v>
      </x:c>
      <x:c r="H13" s="22" t="n">
        <x:v>526.9961977186312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313.68821292775664</x:v>
      </x:c>
      <x:c r="N13" s="22" t="n">
        <x:v>1736.5779467680607</x:v>
      </x:c>
      <x:c r="O13" s="22" t="n">
        <x:v>0</x:v>
      </x:c>
      <x:c r="P13" s="22" t="n">
        <x:v>1736.58</x:v>
      </x:c>
      <x:c r="Q13" t="str">
        <x:v>Ödenmedi</x:v>
      </x:c>
    </x:row>
    <x:row r="14">
      <x:c r="A14" s="24" t="n">
        <x:v>46113</x:v>
      </x:c>
      <x:c r="B14" s="24" t="n">
        <x:v>46082</x:v>
      </x:c>
      <x:c r="C14" s="22" t="n">
        <x:v>198.25095057034218</x:v>
      </x:c>
      <x:c r="D14" s="22" t="n">
        <x:v>111.67300380228136</x:v>
      </x:c>
      <x:c r="E14" s="22" t="n">
        <x:v>263.4980988593156</x:v>
      </x:c>
      <x:c r="F14" s="22" t="n">
        <x:v>0</x:v>
      </x:c>
      <x:c r="G14" s="22" t="n">
        <x:v>0</x:v>
      </x:c>
      <x:c r="H14" s="22" t="n">
        <x:v>0</x:v>
      </x:c>
      <x:c r="I14" s="22" t="n">
        <x:v>376.42585551330797</x:v>
      </x:c>
      <x:c r="J14" s="22" t="n">
        <x:v>0</x:v>
      </x:c>
      <x:c r="K14" s="22" t="n">
        <x:v>476.8060836501901</x:v>
      </x:c>
      <x:c r="L14" s="22" t="n">
        <x:v>0</x:v>
      </x:c>
      <x:c r="M14" s="22" t="n">
        <x:v>313.68821292775664</x:v>
      </x:c>
      <x:c r="N14" s="22" t="n">
        <x:v>1740.3422053231939</x:v>
      </x:c>
      <x:c r="O14" s="22" t="n">
        <x:v>1740.34</x:v>
      </x:c>
      <x:c r="P14" s="22" t="n">
        <x:v>0</x:v>
      </x:c>
      <x:c r="Q14" t="str">
        <x:v>Ödendi</x:v>
      </x:c>
    </x:row>
    <x:row r="15">
      <x:c r="A15" s="24" t="n">
        <x:v>46143</x:v>
      </x:c>
      <x:c r="B15" s="24" t="n">
        <x:v>46113</x:v>
      </x:c>
      <x:c r="C15" s="22" t="n">
        <x:v>212.05323193916348</x:v>
      </x:c>
      <x:c r="D15" s="22" t="n">
        <x:v>114.18250950570341</x:v>
      </x:c>
      <x:c r="E15" s="22" t="n">
        <x:v>276.04562737642584</x:v>
      </x:c>
      <x:c r="F15" s="22" t="n">
        <x:v>0</x:v>
      </x:c>
      <x:c r="G15" s="22" t="n">
        <x:v>777.9467680608365</x:v>
      </x:c>
      <x:c r="H15" s="22" t="n">
        <x:v>0</x:v>
      </x:c>
      <x:c r="I15" s="22" t="n">
        <x:v>0</x:v>
      </x:c>
      <x:c r="J15" s="22" t="n">
        <x:v>326.2357414448669</x:v>
      </x:c>
      <x:c r="K15" s="22" t="n">
        <x:v>0</x:v>
      </x:c>
      <x:c r="L15" s="22" t="n">
        <x:v>0</x:v>
      </x:c>
      <x:c r="M15" s="22" t="n">
        <x:v>313.68821292775664</x:v>
      </x:c>
      <x:c r="N15" s="22" t="n">
        <x:v>2020.1520912547528</x:v>
      </x:c>
      <x:c r="O15" s="22" t="n">
        <x:v>2020.15</x:v>
      </x:c>
      <x:c r="P15" s="22" t="n">
        <x:v>0</x:v>
      </x:c>
      <x:c r="Q15" t="str">
        <x:v>Ödendi</x:v>
      </x:c>
    </x:row>
    <x:row r="16">
      <x:c r="A16" s="24" t="n">
        <x:v>46174</x:v>
      </x:c>
      <x:c r="B16" s="24" t="n">
        <x:v>46143</x:v>
      </x:c>
      <x:c r="C16" s="22" t="n">
        <x:v>227.1102661596958</x:v>
      </x:c>
      <x:c r="D16" s="22" t="n">
        <x:v>122.9657794676806</x:v>
      </x:c>
      <x:c r="E16" s="22" t="n">
        <x:v>276.04562737642584</x:v>
      </x:c>
      <x:c r="F16" s="22" t="n">
        <x:v>451.71102661596956</x:v>
      </x:c>
      <x:c r="G16" s="22" t="n">
        <x:v>0</x:v>
      </x:c>
      <x:c r="H16" s="22" t="n">
        <x:v>0</x:v>
      </x:c>
      <x:c r="I16" s="22" t="n">
        <x:v>376.42585551330797</x:v>
      </x:c>
      <x:c r="J16" s="22" t="n">
        <x:v>0</x:v>
      </x:c>
      <x:c r="K16" s="22" t="n">
        <x:v>0</x:v>
      </x:c>
      <x:c r="L16" s="22" t="n">
        <x:v>0</x:v>
      </x:c>
      <x:c r="M16" s="22" t="n">
        <x:v>313.68821292775664</x:v>
      </x:c>
      <x:c r="N16" s="22" t="n">
        <x:v>1767.9467680608363</x:v>
      </x:c>
      <x:c r="O16" s="22" t="n">
        <x:v>1767.95</x:v>
      </x:c>
      <x:c r="P16" s="22" t="n">
        <x:v>0</x:v>
      </x:c>
      <x:c r="Q16" t="str">
        <x:v>Ödendi</x:v>
      </x:c>
    </x:row>
    <x:row r="17">
      <x:c r="A17" s="24" t="n">
        <x:v>46204</x:v>
      </x:c>
      <x:c r="B17" s="24" t="n">
        <x:v>46174</x:v>
      </x:c>
      <x:c r="C17" s="22" t="n">
        <x:v>243.42205323193915</x:v>
      </x:c>
      <x:c r="D17" s="22" t="n">
        <x:v>127.9847908745247</x:v>
      </x:c>
      <x:c r="E17" s="22" t="n">
        <x:v>276.04562737642584</x:v>
      </x:c>
      <x:c r="F17" s="22" t="n">
        <x:v>0</x:v>
      </x:c>
      <x:c r="G17" s="22" t="n">
        <x:v>0</x:v>
      </x:c>
      <x:c r="H17" s="22" t="n">
        <x:v>0</x:v>
      </x:c>
      <x:c r="I17" s="22" t="n">
        <x:v>401.5209125475285</x:v>
      </x:c>
      <x:c r="J17" s="22" t="n">
        <x:v>0</x:v>
      </x:c>
      <x:c r="K17" s="22" t="n">
        <x:v>0</x:v>
      </x:c>
      <x:c r="L17" s="22" t="n">
        <x:v>2195.817490494296</x:v>
      </x:c>
      <x:c r="M17" s="22" t="n">
        <x:v>313.68821292775664</x:v>
      </x:c>
      <x:c r="N17" s="22" t="n">
        <x:v>3558.479087452471</x:v>
      </x:c>
      <x:c r="O17" s="22" t="n">
        <x:v>3558.48</x:v>
      </x:c>
      <x:c r="P17" s="22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</x:cols>
  <x:sheetData>
    <x:row r="1" ht="30" customHeight="1">
      <x:c r="A1" s="3" t="str">
        <x:v>Deniz Apartmanı — Demo</x:v>
      </x:c>
      <x:c r="B1" s="3"/>
      <x:c r="C1" s="3"/>
      <x:c r="D1" s="3"/>
      <x:c r="E1" s="3"/>
      <x:c r="F1" s="3"/>
    </x:row>
    <x:row r="3">
      <x:c r="A3" s="7" t="str">
        <x:v>Bina Kodu</x:v>
      </x:c>
      <x:c r="B3" t="str">
        <x:v>B005</x:v>
      </x:c>
    </x:row>
    <x:row r="4">
      <x:c r="A4" s="7" t="str">
        <x:v>Bina</x:v>
      </x:c>
      <x:c r="B4" t="str">
        <x:v>Deniz Apartmanı</x:v>
      </x:c>
    </x:row>
    <x:row r="5">
      <x:c r="A5" s="7" t="str">
        <x:v>Konum</x:v>
      </x:c>
      <x:c r="B5" t="str">
        <x:v>Maltepe</x:v>
      </x:c>
    </x:row>
    <x:row r="6">
      <x:c r="A6" s="7" t="str">
        <x:v>Daire Sayısı</x:v>
      </x:c>
      <x:c r="B6" t="n">
        <x:v>10</x:v>
      </x:c>
    </x:row>
    <x:row r="7">
      <x:c r="A7" s="7" t="str">
        <x:v>Toplam Net Alan</x:v>
      </x:c>
      <x:c r="B7" t="n">
        <x:v>1052</x:v>
      </x:c>
    </x:row>
    <x:row r="8">
      <x:c r="A8" s="7" t="str">
        <x:v>Aidat Sistemi</x:v>
      </x:c>
      <x:c r="B8" t="str">
        <x:v>Önceki ay giderleri</x:v>
      </x:c>
    </x:row>
    <x:row r="9">
      <x:c r="A9" s="7" t="str">
        <x:v>Paylaşım</x:v>
      </x:c>
      <x:c r="B9" t="str">
        <x:v>Net m² oranı</x:v>
      </x:c>
    </x:row>
    <x:row r="10">
      <x:c r="A10" s="7" t="str">
        <x:v>Yedek Fon</x:v>
      </x:c>
      <x:c r="B10" t="str">
        <x:v>Yok</x:v>
      </x:c>
    </x:row>
    <x:row r="11">
      <x:c r="A11" s="7" t="str">
        <x:v>Personel/SGK/Sigorta</x:v>
      </x:c>
      <x:c r="B11" t="str">
        <x:v>Yok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Kural</x:v>
      </x:c>
      <x:c r="B1" s="10" t="str">
        <x:v>Açıklama</x:v>
      </x:c>
    </x:row>
    <x:row r="2">
      <x:c r="A2" s="26" t="str">
        <x:v>Aidat</x:v>
      </x:c>
      <x:c r="B2" s="26" t="str">
        <x:v>Her ayın aidatı bir önceki ayın gerçekleşen ortak giderlerinden oluşur.</x:v>
      </x:c>
    </x:row>
    <x:row r="3">
      <x:c r="A3" s="26" t="str">
        <x:v>Dağıtım</x:v>
      </x:c>
      <x:c r="B3" s="26" t="str">
        <x:v>Giderler net m² oranında dairelere dağıtılır.</x:v>
      </x:c>
    </x:row>
    <x:row r="4">
      <x:c r="A4" s="26" t="str">
        <x:v>Yedek fon</x:v>
      </x:c>
      <x:c r="B4" s="26" t="str">
        <x:v>Yoktur.</x:v>
      </x:c>
    </x:row>
    <x:row r="5">
      <x:c r="A5" s="26" t="str">
        <x:v>Hariç</x:v>
      </x:c>
      <x:c r="B5" s="26" t="str">
        <x:v>Personel, SGK ve sigorta yoktur.</x:v>
      </x:c>
    </x:row>
    <x:row r="6">
      <x:c r="A6" s="26" t="str">
        <x:v>Dahil</x:v>
      </x:c>
      <x:c r="B6" s="26" t="str">
        <x:v>Yönetim hizmeti, ortak alan elektrik/su, asansör, jeneratör, hidrofor, yangın, temizlik, bahçe, onarım ve çatı vardır.</x:v>
      </x:c>
    </x:row>
  </x:sheetData>
  <x:pageMargins left="0.7" right="0.7" top="0.75" bottom="0.75" header="0.3" footer="0.3"/>
</x:worksheet>
</file>